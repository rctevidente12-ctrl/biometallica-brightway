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iometallica_v1_1" sheetId="2" state="visible" r:id="rId4"/>
    <sheet name="Database paramet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<sst xmlns="http://schemas.openxmlformats.org/spreadsheetml/2006/main" count="1330" uniqueCount="286">
  <si>
    <t xml:space="preserve">skip</t>
  </si>
  <si>
    <t xml:space="preserve">BioMetallica bio-opto leaching - Brightway LCI database (biometallica_v1_1), ecoinvent 3.12 cut-off. Built 12 Oct 2026 (v1.1).</t>
  </si>
  <si>
    <t xml:space="preserve">Format: bw2io ExcelImporter (same layout as the lci-carbon-fiber-with-db-parameters template). Sheets whose cell A1 says "skip" are ignored on import.</t>
  </si>
  <si>
    <t xml:space="preserve">Functional unit: 1 kg "metal doré" from activity "U12 electrowinning and doré smelting" (location HK).</t>
  </si>
  <si>
    <t xml:space="preserve">Amounts are values calculated in the companion model workbook BioMetallica_LCI_model_v1.1.xlsx (Balances / LCI exchanges). Change assumptions there, then regenerate this file.</t>
  </si>
  <si>
    <t xml:space="preserve">Uncertainty: lognormal (type 2), loc = LN(|amount|), scale from pedigree factors (ecoinvent v3 approach, Ciroth et al., 2016, https://doi.org/10.1007/s11367-013-0670-5).</t>
  </si>
  <si>
    <t xml:space="preserve">Database parameters (sheet "Database parameters") are triangular multipliers (mode 1) on hotspot exchanges, for parameterised Monte Carlo / sensitivity.</t>
  </si>
  <si>
    <t xml:space="preserve">Background database names assumed: ecoinvent-3.12-cutoff and ecoinvent-3.12-biosphere. Rename in column "database" if your project uses other names.</t>
  </si>
  <si>
    <t xml:space="preserve">Import (Brightway 2.5 / bw2io &gt;= 0.9):</t>
  </si>
  <si>
    <t xml:space="preserve">import bw2data as bd, bw2io as bi</t>
  </si>
  <si>
    <t xml:space="preserve">bd.projects.set_current("biometallica")</t>
  </si>
  <si>
    <t xml:space="preserve"># ecoinvent first: bi.import_ecoinvent_release("3.12", "cutoff", USERNAME, PASSWORD)  (or ecoSpold02 files - the openLCA .zolca files cannot be imported)</t>
  </si>
  <si>
    <t xml:space="preserve">imp = bi.ExcelImporter("BioMetallica_LCI_brightway_v1.1.xlsx")</t>
  </si>
  <si>
    <t xml:space="preserve">imp.apply_strategies()</t>
  </si>
  <si>
    <t xml:space="preserve">imp.match_database("ecoinvent-3.12-cutoff", fields=("name", "unit", "location", "reference product"))</t>
  </si>
  <si>
    <t xml:space="preserve">imp.match_database("ecoinvent-3.12-biosphere", kind="biosphere")</t>
  </si>
  <si>
    <t xml:space="preserve">imp.match_database(fields=("name", "unit", "location", "reference product"))  # internal links</t>
  </si>
  <si>
    <t xml:space="preserve">imp.statistics()  # expect 0 unlinked; otherwise imp.write_excel(only_unlinked=True)</t>
  </si>
  <si>
    <t xml:space="preserve">imp.write_database(activate_parameters=True)</t>
  </si>
  <si>
    <t xml:space="preserve">fu = bd.get_node(database="biometallica_v1_1", name="U12 electrowinning and doré smelting")</t>
  </si>
  <si>
    <t xml:space="preserve">lca = bd.LCA({fu: 1}, ("IPCC 2021", "climate change", "global warming potential (GWP100)")); lca.lci(); lca.lcia()</t>
  </si>
  <si>
    <t xml:space="preserve">Elementary flows use ecoinvent 3.12 names (e.g. HCl = "Hydrochloric acid", air::urban air close to ground). All exchanges were checked against the 3.12 cut-off library index.</t>
  </si>
  <si>
    <t xml:space="preserve">U14 (construction material) is a scenario activity and is not linked to the doré system.</t>
  </si>
  <si>
    <t xml:space="preserve">Database</t>
  </si>
  <si>
    <t xml:space="preserve">biometallica_v1_1</t>
  </si>
  <si>
    <t xml:space="preserve">Activity</t>
  </si>
  <si>
    <t xml:space="preserve">U1 feedstock roasting, electric rotary kiln, 500 degC</t>
  </si>
  <si>
    <t xml:space="preserve">comment</t>
  </si>
  <si>
    <t xml:space="preserve">Per project day: 1,000 kg ash in, 980 kg roasted ash out. Electric kiln, 20 h hot operation, daily heat-up/cool-down. Flue gas: evaporative quench (500 -&gt; 180 degC), bag filter, wet NaOH scrubber (blowdown to U13a). Feed composition from Sample 378/379 (%w/w). Ash is burden-free (cut-off).</t>
  </si>
  <si>
    <t xml:space="preserve">source</t>
  </si>
  <si>
    <t xml:space="preserve">Evidente (2026), BioMetallica LCI v1.1; see model workbook Assumptions/Sources.</t>
  </si>
  <si>
    <t xml:space="preserve">location</t>
  </si>
  <si>
    <t xml:space="preserve">HK</t>
  </si>
  <si>
    <t xml:space="preserve">Category</t>
  </si>
  <si>
    <t xml:space="preserve">main</t>
  </si>
  <si>
    <t xml:space="preserve">production amount</t>
  </si>
  <si>
    <t xml:space="preserve">reference product</t>
  </si>
  <si>
    <t xml:space="preserve">roasted ash</t>
  </si>
  <si>
    <t xml:space="preserve">unit</t>
  </si>
  <si>
    <t xml:space="preserve">kilogram</t>
  </si>
  <si>
    <t xml:space="preserve">Exchanges</t>
  </si>
  <si>
    <t xml:space="preserve">name</t>
  </si>
  <si>
    <t xml:space="preserve">amount</t>
  </si>
  <si>
    <t xml:space="preserve">categories</t>
  </si>
  <si>
    <t xml:space="preserve">type</t>
  </si>
  <si>
    <t xml:space="preserve">database</t>
  </si>
  <si>
    <t xml:space="preserve">uncertainty type</t>
  </si>
  <si>
    <t xml:space="preserve">loc</t>
  </si>
  <si>
    <t xml:space="preserve">u1 reliability</t>
  </si>
  <si>
    <t xml:space="preserve">u2 completeness</t>
  </si>
  <si>
    <t xml:space="preserve">u3 temporal</t>
  </si>
  <si>
    <t xml:space="preserve">u4 geographical</t>
  </si>
  <si>
    <t xml:space="preserve">u5 technological</t>
  </si>
  <si>
    <t xml:space="preserve">ub basic</t>
  </si>
  <si>
    <t xml:space="preserve">scale</t>
  </si>
  <si>
    <t xml:space="preserve">negative</t>
  </si>
  <si>
    <t xml:space="preserve">formula</t>
  </si>
  <si>
    <t xml:space="preserve">production</t>
  </si>
  <si>
    <t xml:space="preserve">Reference product</t>
  </si>
  <si>
    <t xml:space="preserve">market for electricity, medium voltage</t>
  </si>
  <si>
    <t xml:space="preserve">kilowatt hour</t>
  </si>
  <si>
    <t xml:space="preserve">technosphere</t>
  </si>
  <si>
    <t xml:space="preserve">electricity, medium voltage</t>
  </si>
  <si>
    <t xml:space="preserve">ecoinvent-3.12-cutoff</t>
  </si>
  <si>
    <t xml:space="preserve">Heater (net heat / 0.43) + auxiliaries + refractory re-heat + ash cooler + scrubber pumps.</t>
  </si>
  <si>
    <t xml:space="preserve">659.4799337855297 * m_u1_elec</t>
  </si>
  <si>
    <t xml:space="preserve">market for sodium hydroxide, without water, in 50% solution state</t>
  </si>
  <si>
    <t xml:space="preserve">RoW</t>
  </si>
  <si>
    <t xml:space="preserve">sodium hydroxide, without water, in 50% solution state</t>
  </si>
  <si>
    <t xml:space="preserve">Scrubber NaOH, 1.2x stoichiometry on absorbed HCl, HBr and SO2.</t>
  </si>
  <si>
    <t xml:space="preserve">market for tap water</t>
  </si>
  <si>
    <t xml:space="preserve">tap water</t>
  </si>
  <si>
    <t xml:space="preserve">Quench + scrubber make-up water (by balance).</t>
  </si>
  <si>
    <t xml:space="preserve">U13a acidic wastewater neutralisation with lime</t>
  </si>
  <si>
    <t xml:space="preserve">acidic process wastewater</t>
  </si>
  <si>
    <t xml:space="preserve">Scrubber blowdown (5 % dissolved salts) to U13a.</t>
  </si>
  <si>
    <t xml:space="preserve">market for chemical factory, organics</t>
  </si>
  <si>
    <t xml:space="preserve">GLO</t>
  </si>
  <si>
    <t xml:space="preserve">chemical factory, organics</t>
  </si>
  <si>
    <t xml:space="preserve">Plant infrastructure, 4E-10 unit per kg material processed (ecoinvent chemicals convention).</t>
  </si>
  <si>
    <t xml:space="preserve">market for transport, freight, lorry, unspecified</t>
  </si>
  <si>
    <t xml:space="preserve">ton kilometer</t>
  </si>
  <si>
    <t xml:space="preserve">transport, freight, lorry, diesel, unspecified</t>
  </si>
  <si>
    <t xml:space="preserve">Ash delivery, 100 km assumed.</t>
  </si>
  <si>
    <t xml:space="preserve">Carbon dioxide, fossil</t>
  </si>
  <si>
    <t xml:space="preserve">air</t>
  </si>
  <si>
    <t xml:space="preserve">biosphere</t>
  </si>
  <si>
    <t xml:space="preserve">ecoinvent-3.12-biosphere</t>
  </si>
  <si>
    <t xml:space="preserve">Residual carbon fully oxidised.</t>
  </si>
  <si>
    <t xml:space="preserve">Sulfur dioxide</t>
  </si>
  <si>
    <t xml:space="preserve">100 mg/Nm3 after wet scrubber (BAT-AEL 50-300).</t>
  </si>
  <si>
    <t xml:space="preserve">Hydrochloric acid</t>
  </si>
  <si>
    <t xml:space="preserve">air::urban air close to ground</t>
  </si>
  <si>
    <t xml:space="preserve">HCl 5 mg/Nm3 after wet scrubber (BAT-AEL &lt;=5-10).</t>
  </si>
  <si>
    <t xml:space="preserve">Bromine</t>
  </si>
  <si>
    <t xml:space="preserve">HBr 5 mg/Nm3 after scrubber, reported as Br (no HBr flow in ecoinvent 3.12).</t>
  </si>
  <si>
    <t xml:space="preserve">Dioxins, measured as 2,3,7,8-tetrachlorodibenzo-p-dioxin</t>
  </si>
  <si>
    <t xml:space="preserve">PCDD/F 0.5 ng I-TEQ/Nm3 (range 0.1-3.6).</t>
  </si>
  <si>
    <t xml:space="preserve">Particulate Matter, &lt; 2.5 um</t>
  </si>
  <si>
    <t xml:space="preserve">5 mg/Nm3 after bag filter (BAT-AEL 2-5).</t>
  </si>
  <si>
    <t xml:space="preserve">Water</t>
  </si>
  <si>
    <t xml:space="preserve">cubic meter</t>
  </si>
  <si>
    <t xml:space="preserve">Feed moisture + quench/scrubber evaporation.</t>
  </si>
  <si>
    <t xml:space="preserve">U2/U3 acid digestion with ultrasonication, 2 M H2SO4 and H2O2, two washes</t>
  </si>
  <si>
    <t xml:space="preserve">Per project day. Two fresh 2 M H2SO4 washes (2.5 L/kg each) with 30 % H2O2 (1.5x Cu stoichiometry), ultrasonication 15 W/L, filtration, water rinse. Waste 1 to U13a.</t>
  </si>
  <si>
    <t xml:space="preserve">preconcentrated solid, wet</t>
  </si>
  <si>
    <t xml:space="preserve">market for sulfuric acid</t>
  </si>
  <si>
    <t xml:space="preserve">sulfuric acid</t>
  </si>
  <si>
    <t xml:space="preserve">Pure H2SO4 in two fresh 2 M washes; only ~2.4 % is consumed.</t>
  </si>
  <si>
    <t xml:space="preserve">961.1741999999999 * m_u2_acid</t>
  </si>
  <si>
    <t xml:space="preserve">market for hydrogen peroxide, without water, in 50% solution state</t>
  </si>
  <si>
    <t xml:space="preserve">hydrogen peroxide, without water, in 50% solution state</t>
  </si>
  <si>
    <t xml:space="preserve">Pure H2O2 basis.</t>
  </si>
  <si>
    <t xml:space="preserve">market for water, deionised</t>
  </si>
  <si>
    <t xml:space="preserve">water, deionised</t>
  </si>
  <si>
    <t xml:space="preserve">Dilution water for 2 M acid and 30 % H2O2.</t>
  </si>
  <si>
    <t xml:space="preserve">Final cake rinse.</t>
  </si>
  <si>
    <t xml:space="preserve">Sulfuric acid</t>
  </si>
  <si>
    <t xml:space="preserve">Acid mist after demister, 1 mg/Nm3 x 300 Nm3/h.</t>
  </si>
  <si>
    <t xml:space="preserve">Ultrasound + mixing + pumping + controls + chiller.</t>
  </si>
  <si>
    <t xml:space="preserve">237.736 * m_u2_elec</t>
  </si>
  <si>
    <t xml:space="preserve">Waste 1, acidic liquor (by balance).</t>
  </si>
  <si>
    <t xml:space="preserve">U4 formic-acid reduction, 1 M HCOOH, 60 degC, jacketed tank</t>
  </si>
  <si>
    <t xml:space="preserve">Per project day. 1 M HCOOH at 3 L/kg, 60 degC; ~98 % of formic acid leaves unreacted in Waste 2 (to U13a).</t>
  </si>
  <si>
    <t xml:space="preserve">enriched metal solid, wet</t>
  </si>
  <si>
    <t xml:space="preserve">market for formic acid</t>
  </si>
  <si>
    <t xml:space="preserve">formic acid</t>
  </si>
  <si>
    <t xml:space="preserve">Pure HCOOH.</t>
  </si>
  <si>
    <t xml:space="preserve">131.57185886366548 * m_u4_formic</t>
  </si>
  <si>
    <t xml:space="preserve">Water in 1 M solution.</t>
  </si>
  <si>
    <t xml:space="preserve">Rinse + cooling/jacket make-up.</t>
  </si>
  <si>
    <t xml:space="preserve">Heater + agitation + auxiliaries.</t>
  </si>
  <si>
    <t xml:space="preserve">Oxide reduction + HCOOH decomposition (fossil HCOOH).</t>
  </si>
  <si>
    <t xml:space="preserve">Hydrogen</t>
  </si>
  <si>
    <t xml:space="preserve">Formic acid</t>
  </si>
  <si>
    <t xml:space="preserve">Waste 2, mixed formic/sulfuric liquor (by balance).</t>
  </si>
  <si>
    <t xml:space="preserve">U5 biocyanide generation, 750 L batch bioreactor, engineered C. violaceum</t>
  </si>
  <si>
    <t xml:space="preserve">Per 5-day batch; reference unit = kg CN-equivalent stripped to U7. LB medium + glucose + glycine + HEPES, 0.5 vvm, 30 degC, electric sterilisation. Spent broth to U13b.</t>
  </si>
  <si>
    <t xml:space="preserve">cyanide, in HCN stripping gas, biocyanide route</t>
  </si>
  <si>
    <t xml:space="preserve">0.159049 * m_u5_cn_yield</t>
  </si>
  <si>
    <t xml:space="preserve">Medium water (main + seed fermenter).</t>
  </si>
  <si>
    <t xml:space="preserve">market for fodder yeast</t>
  </si>
  <si>
    <t xml:space="preserve">fodder yeast</t>
  </si>
  <si>
    <t xml:space="preserve">PROXY for tryptone + yeast extract (no ecoinvent dataset); incl. 1 % seed train.</t>
  </si>
  <si>
    <t xml:space="preserve">market for sodium chloride, powder</t>
  </si>
  <si>
    <t xml:space="preserve">sodium chloride, powder</t>
  </si>
  <si>
    <t xml:space="preserve">LB NaCl incl. seed train.</t>
  </si>
  <si>
    <t xml:space="preserve">market for glucose</t>
  </si>
  <si>
    <t xml:space="preserve">glucose</t>
  </si>
  <si>
    <t xml:space="preserve">Glucose + L-arabinose (proxy), incl. seed train.</t>
  </si>
  <si>
    <t xml:space="preserve">market for glycine</t>
  </si>
  <si>
    <t xml:space="preserve">glycine</t>
  </si>
  <si>
    <t xml:space="preserve">Cyanide precursor, 2 g/L, incl. seed train.</t>
  </si>
  <si>
    <t xml:space="preserve">market for chemical, organic, unspecified</t>
  </si>
  <si>
    <t xml:space="preserve">chemical, organic, unspecified</t>
  </si>
  <si>
    <t xml:space="preserve">PROXY for HEPES buffer, incl. seed train.</t>
  </si>
  <si>
    <t xml:space="preserve">market for silicone product</t>
  </si>
  <si>
    <t xml:space="preserve">silicone product</t>
  </si>
  <si>
    <t xml:space="preserve">PROXY for silicone antifoam.</t>
  </si>
  <si>
    <t xml:space="preserve">HEPES neutralisation + CIP.</t>
  </si>
  <si>
    <t xml:space="preserve">CIP + cooling make-up.</t>
  </si>
  <si>
    <t xml:space="preserve">Agitation + blower + electric sterilisation + temperature control + auxiliaries + seed train.</t>
  </si>
  <si>
    <t xml:space="preserve">201.7618001292825 * m_u5_elec</t>
  </si>
  <si>
    <t xml:space="preserve">Carbon dioxide, non-fossil</t>
  </si>
  <si>
    <t xml:space="preserve">Biogenic respiration CO2 (held temporarily as carbonate in U7).</t>
  </si>
  <si>
    <t xml:space="preserve">Humidified exhaust.</t>
  </si>
  <si>
    <t xml:space="preserve">U13b biological cyanide wastewater treatment</t>
  </si>
  <si>
    <t xml:space="preserve">cyanide-bearing process wastewater</t>
  </si>
  <si>
    <t xml:space="preserve">Spent broth incl. biomass and residual CN + CIP water.</t>
  </si>
  <si>
    <t xml:space="preserve">U6 photocyanide activation, UV 395 nm, 1 L laboratory run</t>
  </si>
  <si>
    <t xml:space="preserve">Per 1-L, 8-h run (31 Jul 2026 condition). Precursor sodium hexacyanoferrate(II) decahydrate 1.51 g/L (anhydrous basis in LCI). Residual liquor with bound cyanide to U13b.</t>
  </si>
  <si>
    <t xml:space="preserve">cyanide, in HCN stripping gas, photocyanide route</t>
  </si>
  <si>
    <t xml:space="preserve">market for sodium ferrocyanide</t>
  </si>
  <si>
    <t xml:space="preserve">sodium ferrocyanide</t>
  </si>
  <si>
    <t xml:space="preserve">Anhydrous basis of 1.51 g decahydrate.</t>
  </si>
  <si>
    <t xml:space="preserve">market for EDTA, ethylenediaminetetraacetic acid</t>
  </si>
  <si>
    <t xml:space="preserve">EDTA, ethylenediaminetetraacetic acid</t>
  </si>
  <si>
    <t xml:space="preserve">0.4 mL 98 %.</t>
  </si>
  <si>
    <t xml:space="preserve">3 pellets x 0.1 g.</t>
  </si>
  <si>
    <t xml:space="preserve">Rinse.</t>
  </si>
  <si>
    <t xml:space="preserve">UV lamp 80 W x 8 h + stirring + air + cooling + auxiliaries.</t>
  </si>
  <si>
    <t xml:space="preserve">Residual photolysis liquor + rinse.</t>
  </si>
  <si>
    <t xml:space="preserve">U7 cyanide accumulation and stabilisation, NaOH reservoir</t>
  </si>
  <si>
    <t xml:space="preserve">Per 5-day cycle. Absorbs HCN from U5 + five U6 runs and all CO2 in the gas (biogenic + atmospheric), pH &gt; 12.</t>
  </si>
  <si>
    <t xml:space="preserve">stabilised cyanide solution</t>
  </si>
  <si>
    <t xml:space="preserve">2x HCN stoichiometry + 2 mol NaOH per mol CO2 absorbed.</t>
  </si>
  <si>
    <t xml:space="preserve">Reservoir charge.</t>
  </si>
  <si>
    <t xml:space="preserve">Hydrogen cyanide</t>
  </si>
  <si>
    <t xml:space="preserve">2 % capture loss.</t>
  </si>
  <si>
    <t xml:space="preserve">U8 bio-opto leaching, 5-day batch, 30 degC</t>
  </si>
  <si>
    <t xml:space="preserve">Per batch: 10 kg wet U4 cake + all U7 solution. No acid pH correction (removed). Recoveries Au 90 %, Ag 90 %, Cu 70 %, Pd 30 %, Pt 5 %.</t>
  </si>
  <si>
    <t xml:space="preserve">pregnant leach slurry</t>
  </si>
  <si>
    <t xml:space="preserve">Zero in base case (removed).</t>
  </si>
  <si>
    <t xml:space="preserve">Mixing + heat-up + cooling + controls.</t>
  </si>
  <si>
    <t xml:space="preserve">0.5 % of CN inventory.</t>
  </si>
  <si>
    <t xml:space="preserve">U9 filter press</t>
  </si>
  <si>
    <t xml:space="preserve">Per batch. 99 % solids capture, 30 % cake moisture; cyanide-bearing filter cake to hazardous landfill (U14 upcycling is a scenario).</t>
  </si>
  <si>
    <t xml:space="preserve">pregnant leach solution</t>
  </si>
  <si>
    <t xml:space="preserve">HCN volatilised in U9-U11 open transfers (0.1 % of CN in PLS).</t>
  </si>
  <si>
    <t xml:space="preserve">market for hazardous waste, for underground deposit</t>
  </si>
  <si>
    <t xml:space="preserve">hazardous waste, for underground deposit</t>
  </si>
  <si>
    <t xml:space="preserve">Filter cake incl. entrained cyanide liquor.</t>
  </si>
  <si>
    <t xml:space="preserve">U10 sedimentation</t>
  </si>
  <si>
    <t xml:space="preserve">Per batch. 85 % fines removal, 30 % solids sludge.</t>
  </si>
  <si>
    <t xml:space="preserve">clarified pregnant leach solution</t>
  </si>
  <si>
    <t xml:space="preserve">Settled sludge.</t>
  </si>
  <si>
    <t xml:space="preserve">U11 selective resin columns, strong-base anion exchange</t>
  </si>
  <si>
    <t xml:space="preserve">Per batch. Lead-lag columns; Au/Pt/Pd 90 %, Ag/Cu 25 % adsorption; 1 BV fresh 2 M NH4SCN eluent; NaCl regeneration. Eluate and raffinate both go to U12.</t>
  </si>
  <si>
    <t xml:space="preserve">resin circuit outputs, loaded eluate and raffinate</t>
  </si>
  <si>
    <t xml:space="preserve">market for ammonium thiocyanate</t>
  </si>
  <si>
    <t xml:space="preserve">ammonium thiocyanate</t>
  </si>
  <si>
    <t xml:space="preserve">Thiocyanate eluent (NH4SCN used for KSCN).</t>
  </si>
  <si>
    <t xml:space="preserve">Eluent, rinse and regeneration water.</t>
  </si>
  <si>
    <t xml:space="preserve">market for anionic resin</t>
  </si>
  <si>
    <t xml:space="preserve">anionic resin</t>
  </si>
  <si>
    <t xml:space="preserve">3-yr life + 1 %/yr attrition.</t>
  </si>
  <si>
    <t xml:space="preserve">Rinse + regeneration effluent.</t>
  </si>
  <si>
    <t xml:space="preserve">market for hazardous waste, for incineration</t>
  </si>
  <si>
    <t xml:space="preserve">hazardous waste, for incineration</t>
  </si>
  <si>
    <t xml:space="preserve">Spent resin after deep strip.</t>
  </si>
  <si>
    <t xml:space="preserve">U12 electrowinning and doré smelting</t>
  </si>
  <si>
    <t xml:space="preserve">FUNCTIONAL UNIT: 1 kg metal doré at facility gate. Per batch: EW of loaded eluate (97 %) and raffinate (Au 92, Ag 85, Cu 80, Pt 40, Pd 45 %), induction smelting with borax.</t>
  </si>
  <si>
    <t xml:space="preserve">metal doré</t>
  </si>
  <si>
    <t xml:space="preserve">EW 3.2 kWh/kg deposit + induction smelting 5 kWh/batch.</t>
  </si>
  <si>
    <t xml:space="preserve">market for borax, anhydrous, powder</t>
  </si>
  <si>
    <t xml:space="preserve">borax, anhydrous, powder</t>
  </si>
  <si>
    <t xml:space="preserve">Smelting flux.</t>
  </si>
  <si>
    <t xml:space="preserve">market for graphite</t>
  </si>
  <si>
    <t xml:space="preserve">graphite</t>
  </si>
  <si>
    <t xml:space="preserve">Graphite-felt cathode replacement.</t>
  </si>
  <si>
    <t xml:space="preserve">market for titanium</t>
  </si>
  <si>
    <t xml:space="preserve">titanium</t>
  </si>
  <si>
    <t xml:space="preserve">PROXY for MMO-coated Ti anode replacement.</t>
  </si>
  <si>
    <t xml:space="preserve">Cathode rinse.</t>
  </si>
  <si>
    <t xml:space="preserve">market for argon, liquid</t>
  </si>
  <si>
    <t xml:space="preserve">argon, liquid</t>
  </si>
  <si>
    <t xml:space="preserve">ICP-OES assays: 20 samples x 65 L argon per batch.</t>
  </si>
  <si>
    <t xml:space="preserve">Barren eluate + spent electrolyte (cyanide, residual metals).</t>
  </si>
  <si>
    <t xml:space="preserve">Smelting slag.</t>
  </si>
  <si>
    <t xml:space="preserve">Spent electrodes.</t>
  </si>
  <si>
    <t xml:space="preserve">Treatment of Waste 1 (U2/U3) and Waste 2 (U4): CaO neutralisation of H2SO4/HCOOH, Cu(OH)2 precipitation, gypsum sludge to landfill, neutralised effluent to municipal WWTP. Per kg influent (ecoinvent waste-treatment sign convention: production -1).</t>
  </si>
  <si>
    <t xml:space="preserve">market for quicklime, milled, loose</t>
  </si>
  <si>
    <t xml:space="preserve">quicklime, milled, loose</t>
  </si>
  <si>
    <t xml:space="preserve">Stoichiometric CaO x excess (A: p_u13a_xs).</t>
  </si>
  <si>
    <t xml:space="preserve">Mixing, dosing, sludge filter press (A: p_u13a_kwh).</t>
  </si>
  <si>
    <t xml:space="preserve">market for inert waste, for final disposal</t>
  </si>
  <si>
    <t xml:space="preserve">inert waste, for final disposal</t>
  </si>
  <si>
    <t xml:space="preserve">Gypsum-rich sludge cake; switch to hazardous with p_u13a_haz.</t>
  </si>
  <si>
    <t xml:space="preserve">Zero in base case.</t>
  </si>
  <si>
    <t xml:space="preserve">market for wastewater, average</t>
  </si>
  <si>
    <t xml:space="preserve">wastewater, average</t>
  </si>
  <si>
    <t xml:space="preserve">Neutralised effluent incl. calcium formate (COD) to municipal WWTP.</t>
  </si>
  <si>
    <t xml:space="preserve">PFD Module 5 / registry U13: aerobic biological degradation of free and complexed cyanide (CN- to NH4+ and formate/carbonate), nutrients, biological sludge to incineration, effluent to municipal WWTP. Per kg influent.</t>
  </si>
  <si>
    <t xml:space="preserve">Aerated bioreactor (A: p_u13b_kwh).</t>
  </si>
  <si>
    <t xml:space="preserve">market for phosphoric acid, industrial grade, without water, in 85% solution state</t>
  </si>
  <si>
    <t xml:space="preserve">phosphoric acid, industrial grade, without water, in 85% solution state</t>
  </si>
  <si>
    <t xml:space="preserve">Phosphate nutrient 26 mg/L.</t>
  </si>
  <si>
    <t xml:space="preserve">Cyanide</t>
  </si>
  <si>
    <t xml:space="preserve">water::surface water</t>
  </si>
  <si>
    <t xml:space="preserve">Residual CN after 95 % removal.</t>
  </si>
  <si>
    <t xml:space="preserve">Copper ion</t>
  </si>
  <si>
    <t xml:space="preserve">Silver I</t>
  </si>
  <si>
    <t xml:space="preserve">Gold</t>
  </si>
  <si>
    <t xml:space="preserve">Biological sludge (incl. U5 biomass) to hazardous-waste incineration.</t>
  </si>
  <si>
    <t xml:space="preserve">Treated effluent to municipal WWTP.</t>
  </si>
  <si>
    <t xml:space="preserve">U14 leach-residue stabilisation for construction material (scenario)</t>
  </si>
  <si>
    <t xml:space="preserve">SCENARIO, not linked to the base doré system. Cement stabilisation of detoxified filter cake (cut-off: residue enters burden-free).</t>
  </si>
  <si>
    <t xml:space="preserve">scenario</t>
  </si>
  <si>
    <t xml:space="preserve">construction material, from stabilised leach residue</t>
  </si>
  <si>
    <t xml:space="preserve">market for cement, Portland</t>
  </si>
  <si>
    <t xml:space="preserve">cement, Portland</t>
  </si>
  <si>
    <t xml:space="preserve">Database parameters</t>
  </si>
  <si>
    <t xml:space="preserve">minimum</t>
  </si>
  <si>
    <t xml:space="preserve">maximum</t>
  </si>
  <si>
    <t xml:space="preserve">m_u1_elec</t>
  </si>
  <si>
    <t xml:space="preserve">Multiplier on U1 kiln electricity (furnace efficiency 30-60 %, refractory losses).</t>
  </si>
  <si>
    <t xml:space="preserve">m_u2_elec</t>
  </si>
  <si>
    <t xml:space="preserve">Multiplier on U2/U3 electricity (ultrasound 5-100 W/L).</t>
  </si>
  <si>
    <t xml:space="preserve">m_u2_acid</t>
  </si>
  <si>
    <t xml:space="preserve">Multiplier on U2 H2SO4 (acid reuse / counter-current washing, lower L/S).</t>
  </si>
  <si>
    <t xml:space="preserve">m_u4_formic</t>
  </si>
  <si>
    <t xml:space="preserve">Multiplier on U4 formic acid (lower L/S, liquor reuse).</t>
  </si>
  <si>
    <t xml:space="preserve">m_u5_elec</t>
  </si>
  <si>
    <t xml:space="preserve">Multiplier on U5 electricity: 0.5 = continuous sterilisation with heat recovery; 2.1 = 2.42 kW/m3 agitation.</t>
  </si>
  <si>
    <t xml:space="preserve">m_u5_cn_yield</t>
  </si>
  <si>
    <t xml:space="preserve">Multiplier on U5 cyanide output per batch (productivity).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</si>
</sst>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Consolas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1" t="s">
        <v>3</v>
      </c>
    </row>
    <row r="6" customFormat="false" ht="15" hidden="false" customHeight="false" outlineLevel="0" collapsed="false">
      <c r="A6" s="1" t="s">
        <v>4</v>
      </c>
    </row>
    <row r="7" customFormat="false" ht="15" hidden="false" customHeight="false" outlineLevel="0" collapsed="false">
      <c r="A7" s="1" t="s">
        <v>5</v>
      </c>
    </row>
    <row r="8" customFormat="false" ht="15" hidden="false" customHeight="false" outlineLevel="0" collapsed="false">
      <c r="A8" s="1" t="s">
        <v>6</v>
      </c>
    </row>
    <row r="9" customFormat="false" ht="15" hidden="false" customHeight="false" outlineLevel="0" collapsed="false">
      <c r="A9" s="1" t="s">
        <v>7</v>
      </c>
    </row>
    <row r="10" customFormat="false" ht="15" hidden="false" customHeight="false" outlineLevel="0" collapsed="false">
      <c r="A10" s="1"/>
    </row>
    <row r="11" customFormat="false" ht="15" hidden="false" customHeight="false" outlineLevel="0" collapsed="false">
      <c r="A11" s="1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 t="s">
        <v>17</v>
      </c>
    </row>
    <row r="21" customFormat="false" ht="15" hidden="false" customHeight="false" outlineLevel="0" collapsed="false">
      <c r="A21" s="2" t="s">
        <v>18</v>
      </c>
    </row>
    <row r="22" customFormat="false" ht="15" hidden="false" customHeight="false" outlineLevel="0" collapsed="false">
      <c r="A22" s="2" t="s">
        <v>19</v>
      </c>
    </row>
    <row r="23" customFormat="false" ht="15" hidden="false" customHeight="false" outlineLevel="0" collapsed="false">
      <c r="A23" s="2" t="s">
        <v>20</v>
      </c>
    </row>
    <row r="24" customFormat="false" ht="15" hidden="false" customHeight="false" outlineLevel="0" collapsed="false">
      <c r="A24" s="1"/>
    </row>
    <row r="25" customFormat="false" ht="15" hidden="false" customHeight="false" outlineLevel="0" collapsed="false">
      <c r="A25" s="1" t="s">
        <v>21</v>
      </c>
    </row>
    <row r="26" customFormat="false" ht="15" hidden="false" customHeight="false" outlineLevel="0" collapsed="false">
      <c r="A26" s="1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48"/>
    <col collapsed="false" customWidth="true" hidden="false" outlineLevel="0" max="8" min="8" style="0" width="24"/>
    <col collapsed="false" customWidth="true" hidden="false" outlineLevel="0" max="9" min="9" style="0" width="60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7" min="12" style="0" width="9"/>
    <col collapsed="false" customWidth="true" hidden="false" outlineLevel="0" max="18" min="18" style="0" width="12"/>
    <col collapsed="false" customWidth="true" hidden="false" outlineLevel="0" max="19" min="19" style="0" width="9"/>
    <col collapsed="false" customWidth="true" hidden="false" outlineLevel="0" max="20" min="20" style="0" width="24"/>
  </cols>
  <sheetData>
    <row r="1" customFormat="false" ht="15" hidden="false" customHeight="false" outlineLevel="0" collapsed="false">
      <c r="A1" s="3" t="s">
        <v>23</v>
      </c>
      <c r="B1" s="3" t="s">
        <v>24</v>
      </c>
    </row>
    <row r="3" customFormat="false" ht="15" hidden="false" customHeight="false" outlineLevel="0" collapsed="false">
      <c r="A3" s="3" t="s">
        <v>25</v>
      </c>
      <c r="B3" s="3" t="s">
        <v>26</v>
      </c>
    </row>
    <row r="4" customFormat="false" ht="15" hidden="false" customHeight="false" outlineLevel="0" collapsed="false">
      <c r="A4" s="1" t="s">
        <v>27</v>
      </c>
      <c r="B4" s="1" t="s">
        <v>28</v>
      </c>
    </row>
    <row r="5" customFormat="false" ht="15" hidden="false" customHeight="false" outlineLevel="0" collapsed="false">
      <c r="A5" s="1" t="s">
        <v>29</v>
      </c>
      <c r="B5" s="1" t="s">
        <v>30</v>
      </c>
    </row>
    <row r="6" customFormat="false" ht="15" hidden="false" customHeight="false" outlineLevel="0" collapsed="false">
      <c r="A6" s="1" t="s">
        <v>31</v>
      </c>
      <c r="B6" s="1" t="s">
        <v>32</v>
      </c>
    </row>
    <row r="7" customFormat="false" ht="15" hidden="false" customHeight="false" outlineLevel="0" collapsed="false">
      <c r="A7" s="1" t="s">
        <v>33</v>
      </c>
      <c r="B7" s="1" t="s">
        <v>34</v>
      </c>
    </row>
    <row r="8" customFormat="false" ht="15" hidden="false" customHeight="false" outlineLevel="0" collapsed="false">
      <c r="A8" s="1" t="s">
        <v>35</v>
      </c>
      <c r="B8" s="1" t="n">
        <v>980</v>
      </c>
    </row>
    <row r="9" customFormat="false" ht="15" hidden="false" customHeight="false" outlineLevel="0" collapsed="false">
      <c r="A9" s="1" t="s">
        <v>36</v>
      </c>
      <c r="B9" s="1" t="s">
        <v>37</v>
      </c>
    </row>
    <row r="10" customFormat="false" ht="15" hidden="false" customHeight="false" outlineLevel="0" collapsed="false">
      <c r="A10" s="1" t="s">
        <v>38</v>
      </c>
      <c r="B10" s="1" t="s">
        <v>39</v>
      </c>
    </row>
    <row r="11" customFormat="false" ht="15" hidden="false" customHeight="false" outlineLevel="0" collapsed="false">
      <c r="A11" s="3" t="s">
        <v>40</v>
      </c>
    </row>
    <row r="12" customFormat="false" ht="15" hidden="false" customHeight="false" outlineLevel="0" collapsed="false">
      <c r="A12" s="4" t="s">
        <v>41</v>
      </c>
      <c r="B12" s="4" t="s">
        <v>42</v>
      </c>
      <c r="C12" s="4" t="s">
        <v>31</v>
      </c>
      <c r="D12" s="4" t="s">
        <v>38</v>
      </c>
      <c r="E12" s="4" t="s">
        <v>43</v>
      </c>
      <c r="F12" s="4" t="s">
        <v>44</v>
      </c>
      <c r="G12" s="4" t="s">
        <v>36</v>
      </c>
      <c r="H12" s="4" t="s">
        <v>45</v>
      </c>
      <c r="I12" s="4" t="s">
        <v>27</v>
      </c>
      <c r="J12" s="4" t="s">
        <v>46</v>
      </c>
      <c r="K12" s="4" t="s">
        <v>47</v>
      </c>
      <c r="L12" s="4" t="s">
        <v>48</v>
      </c>
      <c r="M12" s="4" t="s">
        <v>49</v>
      </c>
      <c r="N12" s="4" t="s">
        <v>50</v>
      </c>
      <c r="O12" s="4" t="s">
        <v>51</v>
      </c>
      <c r="P12" s="4" t="s">
        <v>52</v>
      </c>
      <c r="Q12" s="4" t="s">
        <v>53</v>
      </c>
      <c r="R12" s="4" t="s">
        <v>54</v>
      </c>
      <c r="S12" s="4" t="s">
        <v>55</v>
      </c>
      <c r="T12" s="4" t="s">
        <v>56</v>
      </c>
    </row>
    <row r="13" customFormat="false" ht="15" hidden="false" customHeight="false" outlineLevel="0" collapsed="false">
      <c r="A13" s="1" t="s">
        <v>26</v>
      </c>
      <c r="B13" s="1" t="n">
        <v>980</v>
      </c>
      <c r="C13" s="1" t="s">
        <v>32</v>
      </c>
      <c r="D13" s="1" t="s">
        <v>39</v>
      </c>
      <c r="E13" s="1"/>
      <c r="F13" s="1" t="s">
        <v>57</v>
      </c>
      <c r="G13" s="1" t="s">
        <v>37</v>
      </c>
      <c r="H13" s="1" t="s">
        <v>24</v>
      </c>
      <c r="I13" s="1" t="s">
        <v>58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customFormat="false" ht="15" hidden="false" customHeight="false" outlineLevel="0" collapsed="false">
      <c r="A14" s="1" t="s">
        <v>59</v>
      </c>
      <c r="B14" s="1" t="n">
        <v>659.47993378553</v>
      </c>
      <c r="C14" s="1" t="s">
        <v>32</v>
      </c>
      <c r="D14" s="1" t="s">
        <v>60</v>
      </c>
      <c r="E14" s="1"/>
      <c r="F14" s="1" t="s">
        <v>61</v>
      </c>
      <c r="G14" s="1" t="s">
        <v>62</v>
      </c>
      <c r="H14" s="1" t="s">
        <v>63</v>
      </c>
      <c r="I14" s="1" t="s">
        <v>64</v>
      </c>
      <c r="J14" s="1" t="n">
        <v>2</v>
      </c>
      <c r="K14" s="1" t="n">
        <f aca="false">LN(ABS(B14))</f>
        <v>6.49145154528891</v>
      </c>
      <c r="L14" s="1" t="n">
        <v>1.1</v>
      </c>
      <c r="M14" s="1" t="n">
        <v>1.1</v>
      </c>
      <c r="N14" s="1" t="n">
        <v>1.03</v>
      </c>
      <c r="O14" s="1" t="n">
        <v>1.02</v>
      </c>
      <c r="P14" s="1" t="n">
        <v>1.5</v>
      </c>
      <c r="Q14" s="1" t="n">
        <v>1.05</v>
      </c>
      <c r="R14" s="1" t="n">
        <f aca="false">0.5*SQRT(LN(L14)^2+LN(M14)^2+LN(N14)^2+LN(O14)^2+LN(P14)^2+LN(Q14)^2)</f>
        <v>0.215763969188149</v>
      </c>
      <c r="S14" s="5" t="b">
        <f aca="false">FALSE()</f>
        <v>0</v>
      </c>
      <c r="T14" s="1" t="s">
        <v>65</v>
      </c>
    </row>
    <row r="15" customFormat="false" ht="15" hidden="false" customHeight="false" outlineLevel="0" collapsed="false">
      <c r="A15" s="1" t="s">
        <v>66</v>
      </c>
      <c r="B15" s="1" t="n">
        <v>1.89478168649493</v>
      </c>
      <c r="C15" s="1" t="s">
        <v>67</v>
      </c>
      <c r="D15" s="1" t="s">
        <v>39</v>
      </c>
      <c r="E15" s="1"/>
      <c r="F15" s="1" t="s">
        <v>61</v>
      </c>
      <c r="G15" s="1" t="s">
        <v>68</v>
      </c>
      <c r="H15" s="1" t="s">
        <v>63</v>
      </c>
      <c r="I15" s="1" t="s">
        <v>69</v>
      </c>
      <c r="J15" s="1" t="n">
        <v>2</v>
      </c>
      <c r="K15" s="1" t="n">
        <f aca="false">LN(ABS(B15))</f>
        <v>0.639103626881914</v>
      </c>
      <c r="L15" s="1" t="n">
        <v>1.1</v>
      </c>
      <c r="M15" s="1" t="n">
        <v>1.1</v>
      </c>
      <c r="N15" s="1" t="n">
        <v>1.03</v>
      </c>
      <c r="O15" s="1" t="n">
        <v>1.02</v>
      </c>
      <c r="P15" s="1" t="n">
        <v>1.5</v>
      </c>
      <c r="Q15" s="1" t="n">
        <v>1.05</v>
      </c>
      <c r="R15" s="1" t="n">
        <f aca="false">0.5*SQRT(LN(L15)^2+LN(M15)^2+LN(N15)^2+LN(O15)^2+LN(P15)^2+LN(Q15)^2)</f>
        <v>0.215763969188149</v>
      </c>
      <c r="S15" s="5" t="b">
        <f aca="false">FALSE()</f>
        <v>0</v>
      </c>
      <c r="T15" s="1"/>
    </row>
    <row r="16" customFormat="false" ht="15" hidden="false" customHeight="false" outlineLevel="0" collapsed="false">
      <c r="A16" s="1" t="s">
        <v>70</v>
      </c>
      <c r="B16" s="1" t="n">
        <v>178.986984849606</v>
      </c>
      <c r="C16" s="1" t="s">
        <v>67</v>
      </c>
      <c r="D16" s="1" t="s">
        <v>39</v>
      </c>
      <c r="E16" s="1"/>
      <c r="F16" s="1" t="s">
        <v>61</v>
      </c>
      <c r="G16" s="1" t="s">
        <v>71</v>
      </c>
      <c r="H16" s="1" t="s">
        <v>63</v>
      </c>
      <c r="I16" s="1" t="s">
        <v>72</v>
      </c>
      <c r="J16" s="1" t="n">
        <v>2</v>
      </c>
      <c r="K16" s="1" t="n">
        <f aca="false">LN(ABS(B16))</f>
        <v>5.18731309285983</v>
      </c>
      <c r="L16" s="1" t="n">
        <v>1.1</v>
      </c>
      <c r="M16" s="1" t="n">
        <v>1.05</v>
      </c>
      <c r="N16" s="1" t="n">
        <v>1</v>
      </c>
      <c r="O16" s="1" t="n">
        <v>1</v>
      </c>
      <c r="P16" s="1" t="n">
        <v>1.2</v>
      </c>
      <c r="Q16" s="1" t="n">
        <v>1.05</v>
      </c>
      <c r="R16" s="1" t="n">
        <f aca="false">0.5*SQRT(LN(L16)^2+LN(M16)^2+LN(N16)^2+LN(O16)^2+LN(P16)^2+LN(Q16)^2)</f>
        <v>0.108496705808822</v>
      </c>
      <c r="S16" s="5" t="b">
        <f aca="false">FALSE()</f>
        <v>0</v>
      </c>
      <c r="T16" s="1"/>
    </row>
    <row r="17" customFormat="false" ht="15" hidden="false" customHeight="false" outlineLevel="0" collapsed="false">
      <c r="A17" s="1" t="s">
        <v>73</v>
      </c>
      <c r="B17" s="1" t="n">
        <v>-62.6335794775317</v>
      </c>
      <c r="C17" s="1" t="s">
        <v>32</v>
      </c>
      <c r="D17" s="1" t="s">
        <v>39</v>
      </c>
      <c r="E17" s="1"/>
      <c r="F17" s="1" t="s">
        <v>61</v>
      </c>
      <c r="G17" s="1" t="s">
        <v>74</v>
      </c>
      <c r="H17" s="1" t="s">
        <v>24</v>
      </c>
      <c r="I17" s="1" t="s">
        <v>75</v>
      </c>
      <c r="J17" s="1" t="n">
        <v>2</v>
      </c>
      <c r="K17" s="1" t="n">
        <f aca="false">LN(ABS(B17))</f>
        <v>4.13730154766693</v>
      </c>
      <c r="L17" s="1" t="n">
        <v>1.1</v>
      </c>
      <c r="M17" s="1" t="n">
        <v>1.05</v>
      </c>
      <c r="N17" s="1" t="n">
        <v>1</v>
      </c>
      <c r="O17" s="1" t="n">
        <v>1</v>
      </c>
      <c r="P17" s="1" t="n">
        <v>1.2</v>
      </c>
      <c r="Q17" s="1" t="n">
        <v>1.05</v>
      </c>
      <c r="R17" s="1" t="n">
        <f aca="false">0.5*SQRT(LN(L17)^2+LN(M17)^2+LN(N17)^2+LN(O17)^2+LN(P17)^2+LN(Q17)^2)</f>
        <v>0.108496705808822</v>
      </c>
      <c r="S17" s="5" t="b">
        <f aca="false">TRUE()</f>
        <v>1</v>
      </c>
      <c r="T17" s="1"/>
    </row>
    <row r="18" customFormat="false" ht="15" hidden="false" customHeight="false" outlineLevel="0" collapsed="false">
      <c r="A18" s="1" t="s">
        <v>76</v>
      </c>
      <c r="B18" s="1" t="n">
        <v>4E-007</v>
      </c>
      <c r="C18" s="1" t="s">
        <v>77</v>
      </c>
      <c r="D18" s="1" t="s">
        <v>38</v>
      </c>
      <c r="E18" s="1"/>
      <c r="F18" s="1" t="s">
        <v>61</v>
      </c>
      <c r="G18" s="1" t="s">
        <v>78</v>
      </c>
      <c r="H18" s="1" t="s">
        <v>63</v>
      </c>
      <c r="I18" s="1" t="s">
        <v>79</v>
      </c>
      <c r="J18" s="1" t="n">
        <v>2</v>
      </c>
      <c r="K18" s="1" t="n">
        <f aca="false">LN(ABS(B18))</f>
        <v>-14.7318012898384</v>
      </c>
      <c r="L18" s="1" t="n">
        <v>1.2</v>
      </c>
      <c r="M18" s="1" t="n">
        <v>1.1</v>
      </c>
      <c r="N18" s="1" t="n">
        <v>1.03</v>
      </c>
      <c r="O18" s="1" t="n">
        <v>1.02</v>
      </c>
      <c r="P18" s="1" t="n">
        <v>2</v>
      </c>
      <c r="Q18" s="1" t="n">
        <v>1.05</v>
      </c>
      <c r="R18" s="1" t="n">
        <f aca="false">0.5*SQRT(LN(L18)^2+LN(M18)^2+LN(N18)^2+LN(O18)^2+LN(P18)^2+LN(Q18)^2)</f>
        <v>0.3627755991387</v>
      </c>
      <c r="S18" s="5" t="b">
        <f aca="false">FALSE()</f>
        <v>0</v>
      </c>
      <c r="T18" s="1"/>
    </row>
    <row r="19" customFormat="false" ht="15" hidden="false" customHeight="false" outlineLevel="0" collapsed="false">
      <c r="A19" s="1" t="s">
        <v>80</v>
      </c>
      <c r="B19" s="1" t="n">
        <v>100</v>
      </c>
      <c r="C19" s="1" t="s">
        <v>67</v>
      </c>
      <c r="D19" s="1" t="s">
        <v>81</v>
      </c>
      <c r="E19" s="1"/>
      <c r="F19" s="1" t="s">
        <v>61</v>
      </c>
      <c r="G19" s="1" t="s">
        <v>82</v>
      </c>
      <c r="H19" s="1" t="s">
        <v>63</v>
      </c>
      <c r="I19" s="1" t="s">
        <v>83</v>
      </c>
      <c r="J19" s="1" t="n">
        <v>2</v>
      </c>
      <c r="K19" s="1" t="n">
        <f aca="false">LN(ABS(B19))</f>
        <v>4.60517018598809</v>
      </c>
      <c r="L19" s="1" t="n">
        <v>1.2</v>
      </c>
      <c r="M19" s="1" t="n">
        <v>1.1</v>
      </c>
      <c r="N19" s="1" t="n">
        <v>1.03</v>
      </c>
      <c r="O19" s="1" t="n">
        <v>1.02</v>
      </c>
      <c r="P19" s="1" t="n">
        <v>2</v>
      </c>
      <c r="Q19" s="1" t="n">
        <v>1.05</v>
      </c>
      <c r="R19" s="1" t="n">
        <f aca="false">0.5*SQRT(LN(L19)^2+LN(M19)^2+LN(N19)^2+LN(O19)^2+LN(P19)^2+LN(Q19)^2)</f>
        <v>0.3627755991387</v>
      </c>
      <c r="S19" s="5" t="b">
        <f aca="false">FALSE()</f>
        <v>0</v>
      </c>
      <c r="T19" s="1"/>
    </row>
    <row r="20" customFormat="false" ht="15" hidden="false" customHeight="false" outlineLevel="0" collapsed="false">
      <c r="A20" s="1" t="s">
        <v>84</v>
      </c>
      <c r="B20" s="1" t="n">
        <v>14.6565648155857</v>
      </c>
      <c r="C20" s="1"/>
      <c r="D20" s="1" t="s">
        <v>39</v>
      </c>
      <c r="E20" s="1" t="s">
        <v>85</v>
      </c>
      <c r="F20" s="1" t="s">
        <v>86</v>
      </c>
      <c r="G20" s="1"/>
      <c r="H20" s="1" t="s">
        <v>87</v>
      </c>
      <c r="I20" s="1" t="s">
        <v>88</v>
      </c>
      <c r="J20" s="1" t="n">
        <v>2</v>
      </c>
      <c r="K20" s="1" t="n">
        <f aca="false">LN(ABS(B20))</f>
        <v>2.68488834537054</v>
      </c>
      <c r="L20" s="1" t="n">
        <v>1.1</v>
      </c>
      <c r="M20" s="1" t="n">
        <v>1.05</v>
      </c>
      <c r="N20" s="1" t="n">
        <v>1</v>
      </c>
      <c r="O20" s="1" t="n">
        <v>1</v>
      </c>
      <c r="P20" s="1" t="n">
        <v>1.2</v>
      </c>
      <c r="Q20" s="1" t="n">
        <v>1.05</v>
      </c>
      <c r="R20" s="1" t="n">
        <f aca="false">0.5*SQRT(LN(L20)^2+LN(M20)^2+LN(N20)^2+LN(O20)^2+LN(P20)^2+LN(Q20)^2)</f>
        <v>0.108496705808822</v>
      </c>
      <c r="S20" s="5" t="b">
        <f aca="false">FALSE()</f>
        <v>0</v>
      </c>
      <c r="T20" s="1"/>
    </row>
    <row r="21" customFormat="false" ht="15" hidden="false" customHeight="false" outlineLevel="0" collapsed="false">
      <c r="A21" s="1" t="s">
        <v>89</v>
      </c>
      <c r="B21" s="1" t="n">
        <v>0.05</v>
      </c>
      <c r="C21" s="1"/>
      <c r="D21" s="1" t="s">
        <v>39</v>
      </c>
      <c r="E21" s="1" t="s">
        <v>85</v>
      </c>
      <c r="F21" s="1" t="s">
        <v>86</v>
      </c>
      <c r="G21" s="1"/>
      <c r="H21" s="1" t="s">
        <v>87</v>
      </c>
      <c r="I21" s="1" t="s">
        <v>90</v>
      </c>
      <c r="J21" s="1" t="n">
        <v>2</v>
      </c>
      <c r="K21" s="1" t="n">
        <f aca="false">LN(ABS(B21))</f>
        <v>-2.99573227355399</v>
      </c>
      <c r="L21" s="1" t="n">
        <v>1.1</v>
      </c>
      <c r="M21" s="1" t="n">
        <v>1.1</v>
      </c>
      <c r="N21" s="1" t="n">
        <v>1.03</v>
      </c>
      <c r="O21" s="1" t="n">
        <v>1.02</v>
      </c>
      <c r="P21" s="1" t="n">
        <v>1.5</v>
      </c>
      <c r="Q21" s="1" t="n">
        <v>1.05</v>
      </c>
      <c r="R21" s="1" t="n">
        <f aca="false">0.5*SQRT(LN(L21)^2+LN(M21)^2+LN(N21)^2+LN(O21)^2+LN(P21)^2+LN(Q21)^2)</f>
        <v>0.215763969188149</v>
      </c>
      <c r="S21" s="5" t="b">
        <f aca="false">FALSE()</f>
        <v>0</v>
      </c>
      <c r="T21" s="1"/>
    </row>
    <row r="22" customFormat="false" ht="15" hidden="false" customHeight="false" outlineLevel="0" collapsed="false">
      <c r="A22" s="1" t="s">
        <v>91</v>
      </c>
      <c r="B22" s="1" t="n">
        <v>0.0025</v>
      </c>
      <c r="C22" s="1"/>
      <c r="D22" s="1" t="s">
        <v>39</v>
      </c>
      <c r="E22" s="1" t="s">
        <v>92</v>
      </c>
      <c r="F22" s="1" t="s">
        <v>86</v>
      </c>
      <c r="G22" s="1"/>
      <c r="H22" s="1" t="s">
        <v>87</v>
      </c>
      <c r="I22" s="1" t="s">
        <v>93</v>
      </c>
      <c r="J22" s="1" t="n">
        <v>2</v>
      </c>
      <c r="K22" s="1" t="n">
        <f aca="false">LN(ABS(B22))</f>
        <v>-5.99146454710798</v>
      </c>
      <c r="L22" s="1" t="n">
        <v>1.1</v>
      </c>
      <c r="M22" s="1" t="n">
        <v>1.1</v>
      </c>
      <c r="N22" s="1" t="n">
        <v>1.03</v>
      </c>
      <c r="O22" s="1" t="n">
        <v>1.02</v>
      </c>
      <c r="P22" s="1" t="n">
        <v>1.5</v>
      </c>
      <c r="Q22" s="1" t="n">
        <v>1.5</v>
      </c>
      <c r="R22" s="1" t="n">
        <f aca="false">0.5*SQRT(LN(L22)^2+LN(M22)^2+LN(N22)^2+LN(O22)^2+LN(P22)^2+LN(Q22)^2)</f>
        <v>0.295058399038556</v>
      </c>
      <c r="S22" s="5" t="b">
        <f aca="false">FALSE()</f>
        <v>0</v>
      </c>
      <c r="T22" s="1"/>
    </row>
    <row r="23" customFormat="false" ht="15" hidden="false" customHeight="false" outlineLevel="0" collapsed="false">
      <c r="A23" s="1" t="s">
        <v>94</v>
      </c>
      <c r="B23" s="1" t="n">
        <v>0.00246885505240261</v>
      </c>
      <c r="C23" s="1"/>
      <c r="D23" s="1" t="s">
        <v>39</v>
      </c>
      <c r="E23" s="1" t="s">
        <v>92</v>
      </c>
      <c r="F23" s="1" t="s">
        <v>86</v>
      </c>
      <c r="G23" s="1"/>
      <c r="H23" s="1" t="s">
        <v>87</v>
      </c>
      <c r="I23" s="1" t="s">
        <v>95</v>
      </c>
      <c r="J23" s="1" t="n">
        <v>2</v>
      </c>
      <c r="K23" s="1" t="n">
        <f aca="false">LN(ABS(B23))</f>
        <v>-6.00400077734825</v>
      </c>
      <c r="L23" s="1" t="n">
        <v>1.1</v>
      </c>
      <c r="M23" s="1" t="n">
        <v>1.1</v>
      </c>
      <c r="N23" s="1" t="n">
        <v>1.03</v>
      </c>
      <c r="O23" s="1" t="n">
        <v>1.02</v>
      </c>
      <c r="P23" s="1" t="n">
        <v>1.5</v>
      </c>
      <c r="Q23" s="1" t="n">
        <v>1.5</v>
      </c>
      <c r="R23" s="1" t="n">
        <f aca="false">0.5*SQRT(LN(L23)^2+LN(M23)^2+LN(N23)^2+LN(O23)^2+LN(P23)^2+LN(Q23)^2)</f>
        <v>0.295058399038556</v>
      </c>
      <c r="S23" s="5" t="b">
        <f aca="false">FALSE()</f>
        <v>0</v>
      </c>
      <c r="T23" s="1"/>
    </row>
    <row r="24" customFormat="false" ht="15" hidden="false" customHeight="false" outlineLevel="0" collapsed="false">
      <c r="A24" s="1" t="s">
        <v>96</v>
      </c>
      <c r="B24" s="1" t="n">
        <v>2.5E-010</v>
      </c>
      <c r="C24" s="1"/>
      <c r="D24" s="1" t="s">
        <v>39</v>
      </c>
      <c r="E24" s="1" t="s">
        <v>92</v>
      </c>
      <c r="F24" s="1" t="s">
        <v>86</v>
      </c>
      <c r="G24" s="1"/>
      <c r="H24" s="1" t="s">
        <v>87</v>
      </c>
      <c r="I24" s="1" t="s">
        <v>97</v>
      </c>
      <c r="J24" s="1" t="n">
        <v>2</v>
      </c>
      <c r="K24" s="1" t="n">
        <f aca="false">LN(ABS(B24))</f>
        <v>-22.1095601980663</v>
      </c>
      <c r="L24" s="1" t="n">
        <v>1.1</v>
      </c>
      <c r="M24" s="1" t="n">
        <v>1.1</v>
      </c>
      <c r="N24" s="1" t="n">
        <v>1.03</v>
      </c>
      <c r="O24" s="1" t="n">
        <v>1.02</v>
      </c>
      <c r="P24" s="1" t="n">
        <v>1.5</v>
      </c>
      <c r="Q24" s="1" t="n">
        <v>3</v>
      </c>
      <c r="R24" s="1" t="n">
        <f aca="false">0.5*SQRT(LN(L24)^2+LN(M24)^2+LN(N24)^2+LN(O24)^2+LN(P24)^2+LN(Q24)^2)</f>
        <v>0.589657706278015</v>
      </c>
      <c r="S24" s="5" t="b">
        <f aca="false">FALSE()</f>
        <v>0</v>
      </c>
      <c r="T24" s="1"/>
    </row>
    <row r="25" customFormat="false" ht="15" hidden="false" customHeight="false" outlineLevel="0" collapsed="false">
      <c r="A25" s="1" t="s">
        <v>98</v>
      </c>
      <c r="B25" s="1" t="n">
        <v>0.0025</v>
      </c>
      <c r="C25" s="1"/>
      <c r="D25" s="1" t="s">
        <v>39</v>
      </c>
      <c r="E25" s="1" t="s">
        <v>85</v>
      </c>
      <c r="F25" s="1" t="s">
        <v>86</v>
      </c>
      <c r="G25" s="1"/>
      <c r="H25" s="1" t="s">
        <v>87</v>
      </c>
      <c r="I25" s="1" t="s">
        <v>99</v>
      </c>
      <c r="J25" s="1" t="n">
        <v>2</v>
      </c>
      <c r="K25" s="1" t="n">
        <f aca="false">LN(ABS(B25))</f>
        <v>-5.99146454710798</v>
      </c>
      <c r="L25" s="1" t="n">
        <v>1.1</v>
      </c>
      <c r="M25" s="1" t="n">
        <v>1.1</v>
      </c>
      <c r="N25" s="1" t="n">
        <v>1.03</v>
      </c>
      <c r="O25" s="1" t="n">
        <v>1.02</v>
      </c>
      <c r="P25" s="1" t="n">
        <v>1.5</v>
      </c>
      <c r="Q25" s="1" t="n">
        <v>3</v>
      </c>
      <c r="R25" s="1" t="n">
        <f aca="false">0.5*SQRT(LN(L25)^2+LN(M25)^2+LN(N25)^2+LN(O25)^2+LN(P25)^2+LN(Q25)^2)</f>
        <v>0.589657706278015</v>
      </c>
      <c r="S25" s="5" t="b">
        <f aca="false">FALSE()</f>
        <v>0</v>
      </c>
      <c r="T25" s="1"/>
    </row>
    <row r="26" customFormat="false" ht="15" hidden="false" customHeight="false" outlineLevel="0" collapsed="false">
      <c r="A26" s="1" t="s">
        <v>100</v>
      </c>
      <c r="B26" s="1" t="n">
        <v>0.134929375076934</v>
      </c>
      <c r="C26" s="1"/>
      <c r="D26" s="1" t="s">
        <v>101</v>
      </c>
      <c r="E26" s="1" t="s">
        <v>85</v>
      </c>
      <c r="F26" s="1" t="s">
        <v>86</v>
      </c>
      <c r="G26" s="1"/>
      <c r="H26" s="1" t="s">
        <v>87</v>
      </c>
      <c r="I26" s="1" t="s">
        <v>102</v>
      </c>
      <c r="J26" s="1" t="n">
        <v>2</v>
      </c>
      <c r="K26" s="1" t="n">
        <f aca="false">LN(ABS(B26))</f>
        <v>-2.00300378501142</v>
      </c>
      <c r="L26" s="1" t="n">
        <v>1.1</v>
      </c>
      <c r="M26" s="1" t="n">
        <v>1.05</v>
      </c>
      <c r="N26" s="1" t="n">
        <v>1</v>
      </c>
      <c r="O26" s="1" t="n">
        <v>1</v>
      </c>
      <c r="P26" s="1" t="n">
        <v>1.2</v>
      </c>
      <c r="Q26" s="1" t="n">
        <v>1.05</v>
      </c>
      <c r="R26" s="1" t="n">
        <f aca="false">0.5*SQRT(LN(L26)^2+LN(M26)^2+LN(N26)^2+LN(O26)^2+LN(P26)^2+LN(Q26)^2)</f>
        <v>0.108496705808822</v>
      </c>
      <c r="S26" s="5" t="b">
        <f aca="false">FALSE()</f>
        <v>0</v>
      </c>
      <c r="T26" s="1"/>
    </row>
    <row r="28" customFormat="false" ht="15" hidden="false" customHeight="false" outlineLevel="0" collapsed="false">
      <c r="A28" s="3" t="s">
        <v>25</v>
      </c>
      <c r="B28" s="3" t="s">
        <v>103</v>
      </c>
    </row>
    <row r="29" customFormat="false" ht="15" hidden="false" customHeight="false" outlineLevel="0" collapsed="false">
      <c r="A29" s="1" t="s">
        <v>27</v>
      </c>
      <c r="B29" s="1" t="s">
        <v>104</v>
      </c>
    </row>
    <row r="30" customFormat="false" ht="15" hidden="false" customHeight="false" outlineLevel="0" collapsed="false">
      <c r="A30" s="1" t="s">
        <v>29</v>
      </c>
      <c r="B30" s="1" t="s">
        <v>30</v>
      </c>
    </row>
    <row r="31" customFormat="false" ht="15" hidden="false" customHeight="false" outlineLevel="0" collapsed="false">
      <c r="A31" s="1" t="s">
        <v>31</v>
      </c>
      <c r="B31" s="1" t="s">
        <v>32</v>
      </c>
    </row>
    <row r="32" customFormat="false" ht="15" hidden="false" customHeight="false" outlineLevel="0" collapsed="false">
      <c r="A32" s="1" t="s">
        <v>33</v>
      </c>
      <c r="B32" s="1" t="s">
        <v>34</v>
      </c>
    </row>
    <row r="33" customFormat="false" ht="15" hidden="false" customHeight="false" outlineLevel="0" collapsed="false">
      <c r="A33" s="1" t="s">
        <v>35</v>
      </c>
      <c r="B33" s="1" t="n">
        <v>1270.53518125333</v>
      </c>
    </row>
    <row r="34" customFormat="false" ht="15" hidden="false" customHeight="false" outlineLevel="0" collapsed="false">
      <c r="A34" s="1" t="s">
        <v>36</v>
      </c>
      <c r="B34" s="1" t="s">
        <v>105</v>
      </c>
    </row>
    <row r="35" customFormat="false" ht="15" hidden="false" customHeight="false" outlineLevel="0" collapsed="false">
      <c r="A35" s="1" t="s">
        <v>38</v>
      </c>
      <c r="B35" s="1" t="s">
        <v>39</v>
      </c>
    </row>
    <row r="36" customFormat="false" ht="15" hidden="false" customHeight="false" outlineLevel="0" collapsed="false">
      <c r="A36" s="3" t="s">
        <v>40</v>
      </c>
    </row>
    <row r="37" customFormat="false" ht="15" hidden="false" customHeight="false" outlineLevel="0" collapsed="false">
      <c r="A37" s="4" t="s">
        <v>41</v>
      </c>
      <c r="B37" s="4" t="s">
        <v>42</v>
      </c>
      <c r="C37" s="4" t="s">
        <v>31</v>
      </c>
      <c r="D37" s="4" t="s">
        <v>38</v>
      </c>
      <c r="E37" s="4" t="s">
        <v>43</v>
      </c>
      <c r="F37" s="4" t="s">
        <v>44</v>
      </c>
      <c r="G37" s="4" t="s">
        <v>36</v>
      </c>
      <c r="H37" s="4" t="s">
        <v>45</v>
      </c>
      <c r="I37" s="4" t="s">
        <v>27</v>
      </c>
      <c r="J37" s="4" t="s">
        <v>46</v>
      </c>
      <c r="K37" s="4" t="s">
        <v>47</v>
      </c>
      <c r="L37" s="4" t="s">
        <v>48</v>
      </c>
      <c r="M37" s="4" t="s">
        <v>49</v>
      </c>
      <c r="N37" s="4" t="s">
        <v>50</v>
      </c>
      <c r="O37" s="4" t="s">
        <v>51</v>
      </c>
      <c r="P37" s="4" t="s">
        <v>52</v>
      </c>
      <c r="Q37" s="4" t="s">
        <v>53</v>
      </c>
      <c r="R37" s="4" t="s">
        <v>54</v>
      </c>
      <c r="S37" s="4" t="s">
        <v>55</v>
      </c>
      <c r="T37" s="4" t="s">
        <v>56</v>
      </c>
    </row>
    <row r="38" customFormat="false" ht="15" hidden="false" customHeight="false" outlineLevel="0" collapsed="false">
      <c r="A38" s="1" t="s">
        <v>103</v>
      </c>
      <c r="B38" s="1" t="n">
        <v>1270.53518125333</v>
      </c>
      <c r="C38" s="1" t="s">
        <v>32</v>
      </c>
      <c r="D38" s="1" t="s">
        <v>39</v>
      </c>
      <c r="E38" s="1"/>
      <c r="F38" s="1" t="s">
        <v>57</v>
      </c>
      <c r="G38" s="1" t="s">
        <v>105</v>
      </c>
      <c r="H38" s="1" t="s">
        <v>24</v>
      </c>
      <c r="I38" s="1" t="s">
        <v>58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customFormat="false" ht="15" hidden="false" customHeight="false" outlineLevel="0" collapsed="false">
      <c r="A39" s="1" t="s">
        <v>26</v>
      </c>
      <c r="B39" s="1" t="n">
        <v>980</v>
      </c>
      <c r="C39" s="1" t="s">
        <v>32</v>
      </c>
      <c r="D39" s="1" t="s">
        <v>39</v>
      </c>
      <c r="E39" s="1"/>
      <c r="F39" s="1" t="s">
        <v>61</v>
      </c>
      <c r="G39" s="1" t="s">
        <v>37</v>
      </c>
      <c r="H39" s="1" t="s">
        <v>24</v>
      </c>
      <c r="I39" s="1"/>
      <c r="J39" s="1" t="n">
        <v>2</v>
      </c>
      <c r="K39" s="1" t="n">
        <f aca="false">LN(ABS(B39))</f>
        <v>6.88755257166462</v>
      </c>
      <c r="L39" s="1" t="n">
        <v>1.1</v>
      </c>
      <c r="M39" s="1" t="n">
        <v>1.05</v>
      </c>
      <c r="N39" s="1" t="n">
        <v>1</v>
      </c>
      <c r="O39" s="1" t="n">
        <v>1</v>
      </c>
      <c r="P39" s="1" t="n">
        <v>1.2</v>
      </c>
      <c r="Q39" s="1" t="n">
        <v>1.05</v>
      </c>
      <c r="R39" s="1" t="n">
        <f aca="false">0.5*SQRT(LN(L39)^2+LN(M39)^2+LN(N39)^2+LN(O39)^2+LN(P39)^2+LN(Q39)^2)</f>
        <v>0.108496705808822</v>
      </c>
      <c r="S39" s="5" t="b">
        <f aca="false">FALSE()</f>
        <v>0</v>
      </c>
      <c r="T39" s="1"/>
    </row>
    <row r="40" customFormat="false" ht="15" hidden="false" customHeight="false" outlineLevel="0" collapsed="false">
      <c r="A40" s="1" t="s">
        <v>106</v>
      </c>
      <c r="B40" s="1" t="n">
        <v>961.1742</v>
      </c>
      <c r="C40" s="1" t="s">
        <v>67</v>
      </c>
      <c r="D40" s="1" t="s">
        <v>39</v>
      </c>
      <c r="E40" s="1"/>
      <c r="F40" s="1" t="s">
        <v>61</v>
      </c>
      <c r="G40" s="1" t="s">
        <v>107</v>
      </c>
      <c r="H40" s="1" t="s">
        <v>63</v>
      </c>
      <c r="I40" s="1" t="s">
        <v>108</v>
      </c>
      <c r="J40" s="1" t="n">
        <v>2</v>
      </c>
      <c r="K40" s="1" t="n">
        <f aca="false">LN(ABS(B40))</f>
        <v>6.86815566205389</v>
      </c>
      <c r="L40" s="1" t="n">
        <v>1.1</v>
      </c>
      <c r="M40" s="1" t="n">
        <v>1.05</v>
      </c>
      <c r="N40" s="1" t="n">
        <v>1</v>
      </c>
      <c r="O40" s="1" t="n">
        <v>1</v>
      </c>
      <c r="P40" s="1" t="n">
        <v>1.2</v>
      </c>
      <c r="Q40" s="1" t="n">
        <v>1.05</v>
      </c>
      <c r="R40" s="1" t="n">
        <f aca="false">0.5*SQRT(LN(L40)^2+LN(M40)^2+LN(N40)^2+LN(O40)^2+LN(P40)^2+LN(Q40)^2)</f>
        <v>0.108496705808822</v>
      </c>
      <c r="S40" s="5" t="b">
        <f aca="false">FALSE()</f>
        <v>0</v>
      </c>
      <c r="T40" s="1" t="s">
        <v>109</v>
      </c>
    </row>
    <row r="41" customFormat="false" ht="15" hidden="false" customHeight="false" outlineLevel="0" collapsed="false">
      <c r="A41" s="1" t="s">
        <v>110</v>
      </c>
      <c r="B41" s="1" t="n">
        <v>10.0774337768672</v>
      </c>
      <c r="C41" s="1" t="s">
        <v>67</v>
      </c>
      <c r="D41" s="1" t="s">
        <v>39</v>
      </c>
      <c r="E41" s="1"/>
      <c r="F41" s="1" t="s">
        <v>61</v>
      </c>
      <c r="G41" s="1" t="s">
        <v>111</v>
      </c>
      <c r="H41" s="1" t="s">
        <v>63</v>
      </c>
      <c r="I41" s="1" t="s">
        <v>112</v>
      </c>
      <c r="J41" s="1" t="n">
        <v>2</v>
      </c>
      <c r="K41" s="1" t="n">
        <f aca="false">LN(ABS(B41))</f>
        <v>2.31029864460254</v>
      </c>
      <c r="L41" s="1" t="n">
        <v>1.1</v>
      </c>
      <c r="M41" s="1" t="n">
        <v>1.05</v>
      </c>
      <c r="N41" s="1" t="n">
        <v>1</v>
      </c>
      <c r="O41" s="1" t="n">
        <v>1</v>
      </c>
      <c r="P41" s="1" t="n">
        <v>1.2</v>
      </c>
      <c r="Q41" s="1" t="n">
        <v>1.05</v>
      </c>
      <c r="R41" s="1" t="n">
        <f aca="false">0.5*SQRT(LN(L41)^2+LN(M41)^2+LN(N41)^2+LN(O41)^2+LN(P41)^2+LN(Q41)^2)</f>
        <v>0.108496705808822</v>
      </c>
      <c r="S41" s="5" t="b">
        <f aca="false">FALSE()</f>
        <v>0</v>
      </c>
      <c r="T41" s="1"/>
    </row>
    <row r="42" customFormat="false" ht="15" hidden="false" customHeight="false" outlineLevel="0" collapsed="false">
      <c r="A42" s="1" t="s">
        <v>113</v>
      </c>
      <c r="B42" s="1" t="n">
        <v>4540.26237836916</v>
      </c>
      <c r="C42" s="1" t="s">
        <v>67</v>
      </c>
      <c r="D42" s="1" t="s">
        <v>39</v>
      </c>
      <c r="E42" s="1"/>
      <c r="F42" s="1" t="s">
        <v>61</v>
      </c>
      <c r="G42" s="1" t="s">
        <v>114</v>
      </c>
      <c r="H42" s="1" t="s">
        <v>63</v>
      </c>
      <c r="I42" s="1" t="s">
        <v>115</v>
      </c>
      <c r="J42" s="1" t="n">
        <v>2</v>
      </c>
      <c r="K42" s="1" t="n">
        <f aca="false">LN(ABS(B42))</f>
        <v>8.42074008195779</v>
      </c>
      <c r="L42" s="1" t="n">
        <v>1.1</v>
      </c>
      <c r="M42" s="1" t="n">
        <v>1.05</v>
      </c>
      <c r="N42" s="1" t="n">
        <v>1</v>
      </c>
      <c r="O42" s="1" t="n">
        <v>1</v>
      </c>
      <c r="P42" s="1" t="n">
        <v>1.2</v>
      </c>
      <c r="Q42" s="1" t="n">
        <v>1.05</v>
      </c>
      <c r="R42" s="1" t="n">
        <f aca="false">0.5*SQRT(LN(L42)^2+LN(M42)^2+LN(N42)^2+LN(O42)^2+LN(P42)^2+LN(Q42)^2)</f>
        <v>0.108496705808822</v>
      </c>
      <c r="S42" s="5" t="b">
        <f aca="false">FALSE()</f>
        <v>0</v>
      </c>
      <c r="T42" s="1"/>
    </row>
    <row r="43" customFormat="false" ht="15" hidden="false" customHeight="false" outlineLevel="0" collapsed="false">
      <c r="A43" s="1" t="s">
        <v>70</v>
      </c>
      <c r="B43" s="1" t="n">
        <v>952.90138594</v>
      </c>
      <c r="C43" s="1" t="s">
        <v>67</v>
      </c>
      <c r="D43" s="1" t="s">
        <v>39</v>
      </c>
      <c r="E43" s="1"/>
      <c r="F43" s="1" t="s">
        <v>61</v>
      </c>
      <c r="G43" s="1" t="s">
        <v>71</v>
      </c>
      <c r="H43" s="1" t="s">
        <v>63</v>
      </c>
      <c r="I43" s="1" t="s">
        <v>116</v>
      </c>
      <c r="J43" s="1" t="n">
        <v>2</v>
      </c>
      <c r="K43" s="1" t="n">
        <f aca="false">LN(ABS(B43))</f>
        <v>6.85951142079741</v>
      </c>
      <c r="L43" s="1" t="n">
        <v>1.1</v>
      </c>
      <c r="M43" s="1" t="n">
        <v>1.05</v>
      </c>
      <c r="N43" s="1" t="n">
        <v>1</v>
      </c>
      <c r="O43" s="1" t="n">
        <v>1</v>
      </c>
      <c r="P43" s="1" t="n">
        <v>1.2</v>
      </c>
      <c r="Q43" s="1" t="n">
        <v>1.05</v>
      </c>
      <c r="R43" s="1" t="n">
        <f aca="false">0.5*SQRT(LN(L43)^2+LN(M43)^2+LN(N43)^2+LN(O43)^2+LN(P43)^2+LN(Q43)^2)</f>
        <v>0.108496705808822</v>
      </c>
      <c r="S43" s="5" t="b">
        <f aca="false">FALSE()</f>
        <v>0</v>
      </c>
      <c r="T43" s="1"/>
    </row>
    <row r="44" customFormat="false" ht="15" hidden="false" customHeight="false" outlineLevel="0" collapsed="false">
      <c r="A44" s="1" t="s">
        <v>117</v>
      </c>
      <c r="B44" s="1" t="n">
        <v>0.0012</v>
      </c>
      <c r="C44" s="1"/>
      <c r="D44" s="1" t="s">
        <v>39</v>
      </c>
      <c r="E44" s="1" t="s">
        <v>92</v>
      </c>
      <c r="F44" s="1" t="s">
        <v>86</v>
      </c>
      <c r="G44" s="1"/>
      <c r="H44" s="1" t="s">
        <v>87</v>
      </c>
      <c r="I44" s="1" t="s">
        <v>118</v>
      </c>
      <c r="J44" s="1" t="n">
        <v>2</v>
      </c>
      <c r="K44" s="1" t="n">
        <f aca="false">LN(ABS(B44))</f>
        <v>-6.72543372218818</v>
      </c>
      <c r="L44" s="1" t="n">
        <v>1.2</v>
      </c>
      <c r="M44" s="1" t="n">
        <v>1.1</v>
      </c>
      <c r="N44" s="1" t="n">
        <v>1.03</v>
      </c>
      <c r="O44" s="1" t="n">
        <v>1.02</v>
      </c>
      <c r="P44" s="1" t="n">
        <v>2</v>
      </c>
      <c r="Q44" s="1" t="n">
        <v>1.5</v>
      </c>
      <c r="R44" s="1" t="n">
        <f aca="false">0.5*SQRT(LN(L44)^2+LN(M44)^2+LN(N44)^2+LN(O44)^2+LN(P44)^2+LN(Q44)^2)</f>
        <v>0.414863235023079</v>
      </c>
      <c r="S44" s="5" t="b">
        <f aca="false">FALSE()</f>
        <v>0</v>
      </c>
      <c r="T44" s="1"/>
    </row>
    <row r="45" customFormat="false" ht="15" hidden="false" customHeight="false" outlineLevel="0" collapsed="false">
      <c r="A45" s="1" t="s">
        <v>59</v>
      </c>
      <c r="B45" s="1" t="n">
        <v>237.736</v>
      </c>
      <c r="C45" s="1" t="s">
        <v>32</v>
      </c>
      <c r="D45" s="1" t="s">
        <v>60</v>
      </c>
      <c r="E45" s="1"/>
      <c r="F45" s="1" t="s">
        <v>61</v>
      </c>
      <c r="G45" s="1" t="s">
        <v>62</v>
      </c>
      <c r="H45" s="1" t="s">
        <v>63</v>
      </c>
      <c r="I45" s="1" t="s">
        <v>119</v>
      </c>
      <c r="J45" s="1" t="n">
        <v>2</v>
      </c>
      <c r="K45" s="1" t="n">
        <f aca="false">LN(ABS(B45))</f>
        <v>5.47116081430788</v>
      </c>
      <c r="L45" s="1" t="n">
        <v>1.1</v>
      </c>
      <c r="M45" s="1" t="n">
        <v>1.05</v>
      </c>
      <c r="N45" s="1" t="n">
        <v>1</v>
      </c>
      <c r="O45" s="1" t="n">
        <v>1</v>
      </c>
      <c r="P45" s="1" t="n">
        <v>1.2</v>
      </c>
      <c r="Q45" s="1" t="n">
        <v>1.05</v>
      </c>
      <c r="R45" s="1" t="n">
        <f aca="false">0.5*SQRT(LN(L45)^2+LN(M45)^2+LN(N45)^2+LN(O45)^2+LN(P45)^2+LN(Q45)^2)</f>
        <v>0.108496705808822</v>
      </c>
      <c r="S45" s="5" t="b">
        <f aca="false">FALSE()</f>
        <v>0</v>
      </c>
      <c r="T45" s="1" t="s">
        <v>120</v>
      </c>
    </row>
    <row r="46" customFormat="false" ht="15" hidden="false" customHeight="false" outlineLevel="0" collapsed="false">
      <c r="A46" s="1" t="s">
        <v>73</v>
      </c>
      <c r="B46" s="1" t="n">
        <v>-6183.48365300559</v>
      </c>
      <c r="C46" s="1" t="s">
        <v>32</v>
      </c>
      <c r="D46" s="1" t="s">
        <v>39</v>
      </c>
      <c r="E46" s="1"/>
      <c r="F46" s="1" t="s">
        <v>61</v>
      </c>
      <c r="G46" s="1" t="s">
        <v>74</v>
      </c>
      <c r="H46" s="1" t="s">
        <v>24</v>
      </c>
      <c r="I46" s="1" t="s">
        <v>121</v>
      </c>
      <c r="J46" s="1" t="n">
        <v>2</v>
      </c>
      <c r="K46" s="1" t="n">
        <f aca="false">LN(ABS(B46))</f>
        <v>8.7296370895311</v>
      </c>
      <c r="L46" s="1" t="n">
        <v>1.1</v>
      </c>
      <c r="M46" s="1" t="n">
        <v>1.05</v>
      </c>
      <c r="N46" s="1" t="n">
        <v>1</v>
      </c>
      <c r="O46" s="1" t="n">
        <v>1</v>
      </c>
      <c r="P46" s="1" t="n">
        <v>1.2</v>
      </c>
      <c r="Q46" s="1" t="n">
        <v>1.05</v>
      </c>
      <c r="R46" s="1" t="n">
        <f aca="false">0.5*SQRT(LN(L46)^2+LN(M46)^2+LN(N46)^2+LN(O46)^2+LN(P46)^2+LN(Q46)^2)</f>
        <v>0.108496705808822</v>
      </c>
      <c r="S46" s="5" t="b">
        <f aca="false">TRUE()</f>
        <v>1</v>
      </c>
      <c r="T46" s="1"/>
    </row>
    <row r="48" customFormat="false" ht="15" hidden="false" customHeight="false" outlineLevel="0" collapsed="false">
      <c r="A48" s="3" t="s">
        <v>25</v>
      </c>
      <c r="B48" s="3" t="s">
        <v>122</v>
      </c>
    </row>
    <row r="49" customFormat="false" ht="15" hidden="false" customHeight="false" outlineLevel="0" collapsed="false">
      <c r="A49" s="1" t="s">
        <v>27</v>
      </c>
      <c r="B49" s="1" t="s">
        <v>123</v>
      </c>
    </row>
    <row r="50" customFormat="false" ht="15" hidden="false" customHeight="false" outlineLevel="0" collapsed="false">
      <c r="A50" s="1" t="s">
        <v>29</v>
      </c>
      <c r="B50" s="1" t="s">
        <v>30</v>
      </c>
    </row>
    <row r="51" customFormat="false" ht="15" hidden="false" customHeight="false" outlineLevel="0" collapsed="false">
      <c r="A51" s="1" t="s">
        <v>31</v>
      </c>
      <c r="B51" s="1" t="s">
        <v>32</v>
      </c>
    </row>
    <row r="52" customFormat="false" ht="15" hidden="false" customHeight="false" outlineLevel="0" collapsed="false">
      <c r="A52" s="1" t="s">
        <v>33</v>
      </c>
      <c r="B52" s="1" t="s">
        <v>34</v>
      </c>
    </row>
    <row r="53" customFormat="false" ht="15" hidden="false" customHeight="false" outlineLevel="0" collapsed="false">
      <c r="A53" s="1" t="s">
        <v>35</v>
      </c>
      <c r="B53" s="1" t="n">
        <v>1185.02663787742</v>
      </c>
    </row>
    <row r="54" customFormat="false" ht="15" hidden="false" customHeight="false" outlineLevel="0" collapsed="false">
      <c r="A54" s="1" t="s">
        <v>36</v>
      </c>
      <c r="B54" s="1" t="s">
        <v>124</v>
      </c>
    </row>
    <row r="55" customFormat="false" ht="15" hidden="false" customHeight="false" outlineLevel="0" collapsed="false">
      <c r="A55" s="1" t="s">
        <v>38</v>
      </c>
      <c r="B55" s="1" t="s">
        <v>39</v>
      </c>
    </row>
    <row r="56" customFormat="false" ht="15" hidden="false" customHeight="false" outlineLevel="0" collapsed="false">
      <c r="A56" s="3" t="s">
        <v>40</v>
      </c>
    </row>
    <row r="57" customFormat="false" ht="15" hidden="false" customHeight="false" outlineLevel="0" collapsed="false">
      <c r="A57" s="4" t="s">
        <v>41</v>
      </c>
      <c r="B57" s="4" t="s">
        <v>42</v>
      </c>
      <c r="C57" s="4" t="s">
        <v>31</v>
      </c>
      <c r="D57" s="4" t="s">
        <v>38</v>
      </c>
      <c r="E57" s="4" t="s">
        <v>43</v>
      </c>
      <c r="F57" s="4" t="s">
        <v>44</v>
      </c>
      <c r="G57" s="4" t="s">
        <v>36</v>
      </c>
      <c r="H57" s="4" t="s">
        <v>45</v>
      </c>
      <c r="I57" s="4" t="s">
        <v>27</v>
      </c>
      <c r="J57" s="4" t="s">
        <v>46</v>
      </c>
      <c r="K57" s="4" t="s">
        <v>47</v>
      </c>
      <c r="L57" s="4" t="s">
        <v>48</v>
      </c>
      <c r="M57" s="4" t="s">
        <v>49</v>
      </c>
      <c r="N57" s="4" t="s">
        <v>50</v>
      </c>
      <c r="O57" s="4" t="s">
        <v>51</v>
      </c>
      <c r="P57" s="4" t="s">
        <v>52</v>
      </c>
      <c r="Q57" s="4" t="s">
        <v>53</v>
      </c>
      <c r="R57" s="4" t="s">
        <v>54</v>
      </c>
      <c r="S57" s="4" t="s">
        <v>55</v>
      </c>
      <c r="T57" s="4" t="s">
        <v>56</v>
      </c>
    </row>
    <row r="58" customFormat="false" ht="15" hidden="false" customHeight="false" outlineLevel="0" collapsed="false">
      <c r="A58" s="1" t="s">
        <v>122</v>
      </c>
      <c r="B58" s="1" t="n">
        <v>1185.02663787742</v>
      </c>
      <c r="C58" s="1" t="s">
        <v>32</v>
      </c>
      <c r="D58" s="1" t="s">
        <v>39</v>
      </c>
      <c r="E58" s="1"/>
      <c r="F58" s="1" t="s">
        <v>57</v>
      </c>
      <c r="G58" s="1" t="s">
        <v>124</v>
      </c>
      <c r="H58" s="1" t="s">
        <v>24</v>
      </c>
      <c r="I58" s="1" t="s">
        <v>58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customFormat="false" ht="15" hidden="false" customHeight="false" outlineLevel="0" collapsed="false">
      <c r="A59" s="1" t="s">
        <v>103</v>
      </c>
      <c r="B59" s="1" t="n">
        <v>1270.53518125333</v>
      </c>
      <c r="C59" s="1" t="s">
        <v>32</v>
      </c>
      <c r="D59" s="1" t="s">
        <v>39</v>
      </c>
      <c r="E59" s="1"/>
      <c r="F59" s="1" t="s">
        <v>61</v>
      </c>
      <c r="G59" s="1" t="s">
        <v>105</v>
      </c>
      <c r="H59" s="1" t="s">
        <v>24</v>
      </c>
      <c r="I59" s="1"/>
      <c r="J59" s="1" t="n">
        <v>2</v>
      </c>
      <c r="K59" s="1" t="n">
        <f aca="false">LN(ABS(B59))</f>
        <v>7.14719349324919</v>
      </c>
      <c r="L59" s="1" t="n">
        <v>1.1</v>
      </c>
      <c r="M59" s="1" t="n">
        <v>1.05</v>
      </c>
      <c r="N59" s="1" t="n">
        <v>1</v>
      </c>
      <c r="O59" s="1" t="n">
        <v>1</v>
      </c>
      <c r="P59" s="1" t="n">
        <v>1.2</v>
      </c>
      <c r="Q59" s="1" t="n">
        <v>1.05</v>
      </c>
      <c r="R59" s="1" t="n">
        <f aca="false">0.5*SQRT(LN(L59)^2+LN(M59)^2+LN(N59)^2+LN(O59)^2+LN(P59)^2+LN(Q59)^2)</f>
        <v>0.108496705808822</v>
      </c>
      <c r="S59" s="5" t="b">
        <f aca="false">FALSE()</f>
        <v>0</v>
      </c>
      <c r="T59" s="1"/>
    </row>
    <row r="60" customFormat="false" ht="15" hidden="false" customHeight="false" outlineLevel="0" collapsed="false">
      <c r="A60" s="1" t="s">
        <v>125</v>
      </c>
      <c r="B60" s="1" t="n">
        <v>131.571858863666</v>
      </c>
      <c r="C60" s="1" t="s">
        <v>67</v>
      </c>
      <c r="D60" s="1" t="s">
        <v>39</v>
      </c>
      <c r="E60" s="1"/>
      <c r="F60" s="1" t="s">
        <v>61</v>
      </c>
      <c r="G60" s="1" t="s">
        <v>126</v>
      </c>
      <c r="H60" s="1" t="s">
        <v>63</v>
      </c>
      <c r="I60" s="1" t="s">
        <v>127</v>
      </c>
      <c r="J60" s="1" t="n">
        <v>2</v>
      </c>
      <c r="K60" s="1" t="n">
        <f aca="false">LN(ABS(B60))</f>
        <v>4.87955315760253</v>
      </c>
      <c r="L60" s="1" t="n">
        <v>1.1</v>
      </c>
      <c r="M60" s="1" t="n">
        <v>1.05</v>
      </c>
      <c r="N60" s="1" t="n">
        <v>1</v>
      </c>
      <c r="O60" s="1" t="n">
        <v>1</v>
      </c>
      <c r="P60" s="1" t="n">
        <v>1.2</v>
      </c>
      <c r="Q60" s="1" t="n">
        <v>1.05</v>
      </c>
      <c r="R60" s="1" t="n">
        <f aca="false">0.5*SQRT(LN(L60)^2+LN(M60)^2+LN(N60)^2+LN(O60)^2+LN(P60)^2+LN(Q60)^2)</f>
        <v>0.108496705808822</v>
      </c>
      <c r="S60" s="5" t="b">
        <f aca="false">FALSE()</f>
        <v>0</v>
      </c>
      <c r="T60" s="1" t="s">
        <v>128</v>
      </c>
    </row>
    <row r="61" customFormat="false" ht="15" hidden="false" customHeight="false" outlineLevel="0" collapsed="false">
      <c r="A61" s="1" t="s">
        <v>113</v>
      </c>
      <c r="B61" s="1" t="n">
        <v>2784.30638211273</v>
      </c>
      <c r="C61" s="1" t="s">
        <v>67</v>
      </c>
      <c r="D61" s="1" t="s">
        <v>39</v>
      </c>
      <c r="E61" s="1"/>
      <c r="F61" s="1" t="s">
        <v>61</v>
      </c>
      <c r="G61" s="1" t="s">
        <v>114</v>
      </c>
      <c r="H61" s="1" t="s">
        <v>63</v>
      </c>
      <c r="I61" s="1" t="s">
        <v>129</v>
      </c>
      <c r="J61" s="1" t="n">
        <v>2</v>
      </c>
      <c r="K61" s="1" t="n">
        <f aca="false">LN(ABS(B61))</f>
        <v>7.93175406644538</v>
      </c>
      <c r="L61" s="1" t="n">
        <v>1.1</v>
      </c>
      <c r="M61" s="1" t="n">
        <v>1.05</v>
      </c>
      <c r="N61" s="1" t="n">
        <v>1</v>
      </c>
      <c r="O61" s="1" t="n">
        <v>1</v>
      </c>
      <c r="P61" s="1" t="n">
        <v>1.2</v>
      </c>
      <c r="Q61" s="1" t="n">
        <v>1.05</v>
      </c>
      <c r="R61" s="1" t="n">
        <f aca="false">0.5*SQRT(LN(L61)^2+LN(M61)^2+LN(N61)^2+LN(O61)^2+LN(P61)^2+LN(Q61)^2)</f>
        <v>0.108496705808822</v>
      </c>
      <c r="S61" s="5" t="b">
        <f aca="false">FALSE()</f>
        <v>0</v>
      </c>
      <c r="T61" s="1"/>
    </row>
    <row r="62" customFormat="false" ht="15" hidden="false" customHeight="false" outlineLevel="0" collapsed="false">
      <c r="A62" s="1" t="s">
        <v>70</v>
      </c>
      <c r="B62" s="1" t="n">
        <v>1182.57622981158</v>
      </c>
      <c r="C62" s="1" t="s">
        <v>67</v>
      </c>
      <c r="D62" s="1" t="s">
        <v>39</v>
      </c>
      <c r="E62" s="1"/>
      <c r="F62" s="1" t="s">
        <v>61</v>
      </c>
      <c r="G62" s="1" t="s">
        <v>71</v>
      </c>
      <c r="H62" s="1" t="s">
        <v>63</v>
      </c>
      <c r="I62" s="1" t="s">
        <v>130</v>
      </c>
      <c r="J62" s="1" t="n">
        <v>2</v>
      </c>
      <c r="K62" s="1" t="n">
        <f aca="false">LN(ABS(B62))</f>
        <v>7.07545058324525</v>
      </c>
      <c r="L62" s="1" t="n">
        <v>1.1</v>
      </c>
      <c r="M62" s="1" t="n">
        <v>1.05</v>
      </c>
      <c r="N62" s="1" t="n">
        <v>1</v>
      </c>
      <c r="O62" s="1" t="n">
        <v>1</v>
      </c>
      <c r="P62" s="1" t="n">
        <v>1.2</v>
      </c>
      <c r="Q62" s="1" t="n">
        <v>1.05</v>
      </c>
      <c r="R62" s="1" t="n">
        <f aca="false">0.5*SQRT(LN(L62)^2+LN(M62)^2+LN(N62)^2+LN(O62)^2+LN(P62)^2+LN(Q62)^2)</f>
        <v>0.108496705808822</v>
      </c>
      <c r="S62" s="5" t="b">
        <f aca="false">FALSE()</f>
        <v>0</v>
      </c>
      <c r="T62" s="1"/>
    </row>
    <row r="63" customFormat="false" ht="15" hidden="false" customHeight="false" outlineLevel="0" collapsed="false">
      <c r="A63" s="1" t="s">
        <v>59</v>
      </c>
      <c r="B63" s="1" t="n">
        <v>209.09459675237</v>
      </c>
      <c r="C63" s="1" t="s">
        <v>32</v>
      </c>
      <c r="D63" s="1" t="s">
        <v>60</v>
      </c>
      <c r="E63" s="1"/>
      <c r="F63" s="1" t="s">
        <v>61</v>
      </c>
      <c r="G63" s="1" t="s">
        <v>62</v>
      </c>
      <c r="H63" s="1" t="s">
        <v>63</v>
      </c>
      <c r="I63" s="1" t="s">
        <v>131</v>
      </c>
      <c r="J63" s="1" t="n">
        <v>2</v>
      </c>
      <c r="K63" s="1" t="n">
        <f aca="false">LN(ABS(B63))</f>
        <v>5.34278676560512</v>
      </c>
      <c r="L63" s="1" t="n">
        <v>1.1</v>
      </c>
      <c r="M63" s="1" t="n">
        <v>1.05</v>
      </c>
      <c r="N63" s="1" t="n">
        <v>1</v>
      </c>
      <c r="O63" s="1" t="n">
        <v>1</v>
      </c>
      <c r="P63" s="1" t="n">
        <v>1.2</v>
      </c>
      <c r="Q63" s="1" t="n">
        <v>1.05</v>
      </c>
      <c r="R63" s="1" t="n">
        <f aca="false">0.5*SQRT(LN(L63)^2+LN(M63)^2+LN(N63)^2+LN(O63)^2+LN(P63)^2+LN(Q63)^2)</f>
        <v>0.108496705808822</v>
      </c>
      <c r="S63" s="5" t="b">
        <f aca="false">FALSE()</f>
        <v>0</v>
      </c>
      <c r="T63" s="1"/>
    </row>
    <row r="64" customFormat="false" ht="15" hidden="false" customHeight="false" outlineLevel="0" collapsed="false">
      <c r="A64" s="1" t="s">
        <v>84</v>
      </c>
      <c r="B64" s="1" t="n">
        <v>1.76737656668238</v>
      </c>
      <c r="C64" s="1"/>
      <c r="D64" s="1" t="s">
        <v>39</v>
      </c>
      <c r="E64" s="1" t="s">
        <v>85</v>
      </c>
      <c r="F64" s="1" t="s">
        <v>86</v>
      </c>
      <c r="G64" s="1"/>
      <c r="H64" s="1" t="s">
        <v>87</v>
      </c>
      <c r="I64" s="1" t="s">
        <v>132</v>
      </c>
      <c r="J64" s="1" t="n">
        <v>2</v>
      </c>
      <c r="K64" s="1" t="n">
        <f aca="false">LN(ABS(B64))</f>
        <v>0.569496281375407</v>
      </c>
      <c r="L64" s="1" t="n">
        <v>1.1</v>
      </c>
      <c r="M64" s="1" t="n">
        <v>1.05</v>
      </c>
      <c r="N64" s="1" t="n">
        <v>1</v>
      </c>
      <c r="O64" s="1" t="n">
        <v>1</v>
      </c>
      <c r="P64" s="1" t="n">
        <v>1.2</v>
      </c>
      <c r="Q64" s="1" t="n">
        <v>1.05</v>
      </c>
      <c r="R64" s="1" t="n">
        <f aca="false">0.5*SQRT(LN(L64)^2+LN(M64)^2+LN(N64)^2+LN(O64)^2+LN(P64)^2+LN(Q64)^2)</f>
        <v>0.108496705808822</v>
      </c>
      <c r="S64" s="5" t="b">
        <f aca="false">FALSE()</f>
        <v>0</v>
      </c>
      <c r="T64" s="1"/>
    </row>
    <row r="65" customFormat="false" ht="15" hidden="false" customHeight="false" outlineLevel="0" collapsed="false">
      <c r="A65" s="1" t="s">
        <v>133</v>
      </c>
      <c r="B65" s="1" t="n">
        <v>0.0576314758216512</v>
      </c>
      <c r="C65" s="1"/>
      <c r="D65" s="1" t="s">
        <v>39</v>
      </c>
      <c r="E65" s="1" t="s">
        <v>85</v>
      </c>
      <c r="F65" s="1" t="s">
        <v>86</v>
      </c>
      <c r="G65" s="1"/>
      <c r="H65" s="1" t="s">
        <v>87</v>
      </c>
      <c r="I65" s="1"/>
      <c r="J65" s="1" t="n">
        <v>2</v>
      </c>
      <c r="K65" s="1" t="n">
        <f aca="false">LN(ABS(B65))</f>
        <v>-2.85368640529558</v>
      </c>
      <c r="L65" s="1" t="n">
        <v>1.2</v>
      </c>
      <c r="M65" s="1" t="n">
        <v>1.1</v>
      </c>
      <c r="N65" s="1" t="n">
        <v>1.03</v>
      </c>
      <c r="O65" s="1" t="n">
        <v>1.02</v>
      </c>
      <c r="P65" s="1" t="n">
        <v>2</v>
      </c>
      <c r="Q65" s="1" t="n">
        <v>1.5</v>
      </c>
      <c r="R65" s="1" t="n">
        <f aca="false">0.5*SQRT(LN(L65)^2+LN(M65)^2+LN(N65)^2+LN(O65)^2+LN(P65)^2+LN(Q65)^2)</f>
        <v>0.414863235023079</v>
      </c>
      <c r="S65" s="5" t="b">
        <f aca="false">FALSE()</f>
        <v>0</v>
      </c>
      <c r="T65" s="1"/>
    </row>
    <row r="66" customFormat="false" ht="15" hidden="false" customHeight="false" outlineLevel="0" collapsed="false">
      <c r="A66" s="1" t="s">
        <v>134</v>
      </c>
      <c r="B66" s="1" t="n">
        <v>0.131571858863666</v>
      </c>
      <c r="C66" s="1"/>
      <c r="D66" s="1" t="s">
        <v>39</v>
      </c>
      <c r="E66" s="1" t="s">
        <v>85</v>
      </c>
      <c r="F66" s="1" t="s">
        <v>86</v>
      </c>
      <c r="G66" s="1"/>
      <c r="H66" s="1" t="s">
        <v>87</v>
      </c>
      <c r="I66" s="1"/>
      <c r="J66" s="1" t="n">
        <v>2</v>
      </c>
      <c r="K66" s="1" t="n">
        <f aca="false">LN(ABS(B66))</f>
        <v>-2.02820212137961</v>
      </c>
      <c r="L66" s="1" t="n">
        <v>1.2</v>
      </c>
      <c r="M66" s="1" t="n">
        <v>1.1</v>
      </c>
      <c r="N66" s="1" t="n">
        <v>1.03</v>
      </c>
      <c r="O66" s="1" t="n">
        <v>1.02</v>
      </c>
      <c r="P66" s="1" t="n">
        <v>2</v>
      </c>
      <c r="Q66" s="1" t="n">
        <v>1.5</v>
      </c>
      <c r="R66" s="1" t="n">
        <f aca="false">0.5*SQRT(LN(L66)^2+LN(M66)^2+LN(N66)^2+LN(O66)^2+LN(P66)^2+LN(Q66)^2)</f>
        <v>0.414863235023079</v>
      </c>
      <c r="S66" s="5" t="b">
        <f aca="false">FALSE()</f>
        <v>0</v>
      </c>
      <c r="T66" s="1"/>
    </row>
    <row r="67" customFormat="false" ht="15" hidden="false" customHeight="false" outlineLevel="0" collapsed="false">
      <c r="A67" s="1" t="s">
        <v>73</v>
      </c>
      <c r="B67" s="1" t="n">
        <v>-3947.45151475288</v>
      </c>
      <c r="C67" s="1" t="s">
        <v>32</v>
      </c>
      <c r="D67" s="1" t="s">
        <v>39</v>
      </c>
      <c r="E67" s="1"/>
      <c r="F67" s="1" t="s">
        <v>61</v>
      </c>
      <c r="G67" s="1" t="s">
        <v>74</v>
      </c>
      <c r="H67" s="1" t="s">
        <v>24</v>
      </c>
      <c r="I67" s="1" t="s">
        <v>135</v>
      </c>
      <c r="J67" s="1" t="n">
        <v>2</v>
      </c>
      <c r="K67" s="1" t="n">
        <f aca="false">LN(ABS(B67))</f>
        <v>8.28082546353451</v>
      </c>
      <c r="L67" s="1" t="n">
        <v>1.1</v>
      </c>
      <c r="M67" s="1" t="n">
        <v>1.05</v>
      </c>
      <c r="N67" s="1" t="n">
        <v>1</v>
      </c>
      <c r="O67" s="1" t="n">
        <v>1</v>
      </c>
      <c r="P67" s="1" t="n">
        <v>1.2</v>
      </c>
      <c r="Q67" s="1" t="n">
        <v>1.05</v>
      </c>
      <c r="R67" s="1" t="n">
        <f aca="false">0.5*SQRT(LN(L67)^2+LN(M67)^2+LN(N67)^2+LN(O67)^2+LN(P67)^2+LN(Q67)^2)</f>
        <v>0.108496705808822</v>
      </c>
      <c r="S67" s="5" t="b">
        <f aca="false">TRUE()</f>
        <v>1</v>
      </c>
      <c r="T67" s="1"/>
    </row>
    <row r="69" customFormat="false" ht="15" hidden="false" customHeight="false" outlineLevel="0" collapsed="false">
      <c r="A69" s="3" t="s">
        <v>25</v>
      </c>
      <c r="B69" s="3" t="s">
        <v>136</v>
      </c>
    </row>
    <row r="70" customFormat="false" ht="15" hidden="false" customHeight="false" outlineLevel="0" collapsed="false">
      <c r="A70" s="1" t="s">
        <v>27</v>
      </c>
      <c r="B70" s="1" t="s">
        <v>137</v>
      </c>
    </row>
    <row r="71" customFormat="false" ht="15" hidden="false" customHeight="false" outlineLevel="0" collapsed="false">
      <c r="A71" s="1" t="s">
        <v>29</v>
      </c>
      <c r="B71" s="1" t="s">
        <v>30</v>
      </c>
    </row>
    <row r="72" customFormat="false" ht="15" hidden="false" customHeight="false" outlineLevel="0" collapsed="false">
      <c r="A72" s="1" t="s">
        <v>31</v>
      </c>
      <c r="B72" s="1" t="s">
        <v>32</v>
      </c>
    </row>
    <row r="73" customFormat="false" ht="15" hidden="false" customHeight="false" outlineLevel="0" collapsed="false">
      <c r="A73" s="1" t="s">
        <v>33</v>
      </c>
      <c r="B73" s="1" t="s">
        <v>34</v>
      </c>
    </row>
    <row r="74" customFormat="false" ht="15" hidden="false" customHeight="false" outlineLevel="0" collapsed="false">
      <c r="A74" s="1" t="s">
        <v>35</v>
      </c>
      <c r="B74" s="1" t="n">
        <v>0.159049</v>
      </c>
    </row>
    <row r="75" customFormat="false" ht="15" hidden="false" customHeight="false" outlineLevel="0" collapsed="false">
      <c r="A75" s="1" t="s">
        <v>36</v>
      </c>
      <c r="B75" s="1" t="s">
        <v>138</v>
      </c>
    </row>
    <row r="76" customFormat="false" ht="15" hidden="false" customHeight="false" outlineLevel="0" collapsed="false">
      <c r="A76" s="1" t="s">
        <v>38</v>
      </c>
      <c r="B76" s="1" t="s">
        <v>39</v>
      </c>
    </row>
    <row r="77" customFormat="false" ht="15" hidden="false" customHeight="false" outlineLevel="0" collapsed="false">
      <c r="A77" s="3" t="s">
        <v>40</v>
      </c>
    </row>
    <row r="78" customFormat="false" ht="15" hidden="false" customHeight="false" outlineLevel="0" collapsed="false">
      <c r="A78" s="4" t="s">
        <v>41</v>
      </c>
      <c r="B78" s="4" t="s">
        <v>42</v>
      </c>
      <c r="C78" s="4" t="s">
        <v>31</v>
      </c>
      <c r="D78" s="4" t="s">
        <v>38</v>
      </c>
      <c r="E78" s="4" t="s">
        <v>43</v>
      </c>
      <c r="F78" s="4" t="s">
        <v>44</v>
      </c>
      <c r="G78" s="4" t="s">
        <v>36</v>
      </c>
      <c r="H78" s="4" t="s">
        <v>45</v>
      </c>
      <c r="I78" s="4" t="s">
        <v>27</v>
      </c>
      <c r="J78" s="4" t="s">
        <v>46</v>
      </c>
      <c r="K78" s="4" t="s">
        <v>47</v>
      </c>
      <c r="L78" s="4" t="s">
        <v>48</v>
      </c>
      <c r="M78" s="4" t="s">
        <v>49</v>
      </c>
      <c r="N78" s="4" t="s">
        <v>50</v>
      </c>
      <c r="O78" s="4" t="s">
        <v>51</v>
      </c>
      <c r="P78" s="4" t="s">
        <v>52</v>
      </c>
      <c r="Q78" s="4" t="s">
        <v>53</v>
      </c>
      <c r="R78" s="4" t="s">
        <v>54</v>
      </c>
      <c r="S78" s="4" t="s">
        <v>55</v>
      </c>
      <c r="T78" s="4" t="s">
        <v>56</v>
      </c>
    </row>
    <row r="79" customFormat="false" ht="15" hidden="false" customHeight="false" outlineLevel="0" collapsed="false">
      <c r="A79" s="1" t="s">
        <v>136</v>
      </c>
      <c r="B79" s="1" t="n">
        <v>0.159049</v>
      </c>
      <c r="C79" s="1" t="s">
        <v>32</v>
      </c>
      <c r="D79" s="1" t="s">
        <v>39</v>
      </c>
      <c r="E79" s="1"/>
      <c r="F79" s="1" t="s">
        <v>57</v>
      </c>
      <c r="G79" s="1" t="s">
        <v>138</v>
      </c>
      <c r="H79" s="1" t="s">
        <v>24</v>
      </c>
      <c r="I79" s="1" t="s">
        <v>58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 t="s">
        <v>139</v>
      </c>
    </row>
    <row r="80" customFormat="false" ht="15" hidden="false" customHeight="false" outlineLevel="0" collapsed="false">
      <c r="A80" s="1" t="s">
        <v>113</v>
      </c>
      <c r="B80" s="1" t="n">
        <v>750</v>
      </c>
      <c r="C80" s="1" t="s">
        <v>67</v>
      </c>
      <c r="D80" s="1" t="s">
        <v>39</v>
      </c>
      <c r="E80" s="1"/>
      <c r="F80" s="1" t="s">
        <v>61</v>
      </c>
      <c r="G80" s="1" t="s">
        <v>114</v>
      </c>
      <c r="H80" s="1" t="s">
        <v>63</v>
      </c>
      <c r="I80" s="1" t="s">
        <v>140</v>
      </c>
      <c r="J80" s="1" t="n">
        <v>2</v>
      </c>
      <c r="K80" s="1" t="n">
        <f aca="false">LN(ABS(B80))</f>
        <v>6.62007320653036</v>
      </c>
      <c r="L80" s="1" t="n">
        <v>1.05</v>
      </c>
      <c r="M80" s="1" t="n">
        <v>1.05</v>
      </c>
      <c r="N80" s="1" t="n">
        <v>1</v>
      </c>
      <c r="O80" s="1" t="n">
        <v>1</v>
      </c>
      <c r="P80" s="1" t="n">
        <v>1.2</v>
      </c>
      <c r="Q80" s="1" t="n">
        <v>1.05</v>
      </c>
      <c r="R80" s="1" t="n">
        <f aca="false">0.5*SQRT(LN(L80)^2+LN(M80)^2+LN(N80)^2+LN(O80)^2+LN(P80)^2+LN(Q80)^2)</f>
        <v>0.100477099916861</v>
      </c>
      <c r="S80" s="5" t="b">
        <f aca="false">FALSE()</f>
        <v>0</v>
      </c>
      <c r="T80" s="1"/>
    </row>
    <row r="81" customFormat="false" ht="15" hidden="false" customHeight="false" outlineLevel="0" collapsed="false">
      <c r="A81" s="1" t="s">
        <v>141</v>
      </c>
      <c r="B81" s="1" t="n">
        <v>11.3625</v>
      </c>
      <c r="C81" s="1" t="s">
        <v>77</v>
      </c>
      <c r="D81" s="1" t="s">
        <v>39</v>
      </c>
      <c r="E81" s="1"/>
      <c r="F81" s="1" t="s">
        <v>61</v>
      </c>
      <c r="G81" s="1" t="s">
        <v>142</v>
      </c>
      <c r="H81" s="1" t="s">
        <v>63</v>
      </c>
      <c r="I81" s="1" t="s">
        <v>143</v>
      </c>
      <c r="J81" s="1" t="n">
        <v>2</v>
      </c>
      <c r="K81" s="1" t="n">
        <f aca="false">LN(ABS(B81))</f>
        <v>2.4303184595036</v>
      </c>
      <c r="L81" s="1" t="n">
        <v>1.2</v>
      </c>
      <c r="M81" s="1" t="n">
        <v>1.1</v>
      </c>
      <c r="N81" s="1" t="n">
        <v>1.03</v>
      </c>
      <c r="O81" s="1" t="n">
        <v>1.02</v>
      </c>
      <c r="P81" s="1" t="n">
        <v>2</v>
      </c>
      <c r="Q81" s="1" t="n">
        <v>1.05</v>
      </c>
      <c r="R81" s="1" t="n">
        <f aca="false">0.5*SQRT(LN(L81)^2+LN(M81)^2+LN(N81)^2+LN(O81)^2+LN(P81)^2+LN(Q81)^2)</f>
        <v>0.3627755991387</v>
      </c>
      <c r="S81" s="5" t="b">
        <f aca="false">FALSE()</f>
        <v>0</v>
      </c>
      <c r="T81" s="1"/>
    </row>
    <row r="82" customFormat="false" ht="15" hidden="false" customHeight="false" outlineLevel="0" collapsed="false">
      <c r="A82" s="1" t="s">
        <v>144</v>
      </c>
      <c r="B82" s="1" t="n">
        <v>7.575</v>
      </c>
      <c r="C82" s="1" t="s">
        <v>77</v>
      </c>
      <c r="D82" s="1" t="s">
        <v>39</v>
      </c>
      <c r="E82" s="1"/>
      <c r="F82" s="1" t="s">
        <v>61</v>
      </c>
      <c r="G82" s="1" t="s">
        <v>145</v>
      </c>
      <c r="H82" s="1" t="s">
        <v>63</v>
      </c>
      <c r="I82" s="1" t="s">
        <v>146</v>
      </c>
      <c r="J82" s="1" t="n">
        <v>2</v>
      </c>
      <c r="K82" s="1" t="n">
        <f aca="false">LN(ABS(B82))</f>
        <v>2.02485335139543</v>
      </c>
      <c r="L82" s="1" t="n">
        <v>1.05</v>
      </c>
      <c r="M82" s="1" t="n">
        <v>1.05</v>
      </c>
      <c r="N82" s="1" t="n">
        <v>1</v>
      </c>
      <c r="O82" s="1" t="n">
        <v>1</v>
      </c>
      <c r="P82" s="1" t="n">
        <v>1.2</v>
      </c>
      <c r="Q82" s="1" t="n">
        <v>1.05</v>
      </c>
      <c r="R82" s="1" t="n">
        <f aca="false">0.5*SQRT(LN(L82)^2+LN(M82)^2+LN(N82)^2+LN(O82)^2+LN(P82)^2+LN(Q82)^2)</f>
        <v>0.100477099916861</v>
      </c>
      <c r="S82" s="5" t="b">
        <f aca="false">FALSE()</f>
        <v>0</v>
      </c>
      <c r="T82" s="1"/>
    </row>
    <row r="83" customFormat="false" ht="15" hidden="false" customHeight="false" outlineLevel="0" collapsed="false">
      <c r="A83" s="1" t="s">
        <v>147</v>
      </c>
      <c r="B83" s="1" t="n">
        <v>3.80265</v>
      </c>
      <c r="C83" s="1" t="s">
        <v>77</v>
      </c>
      <c r="D83" s="1" t="s">
        <v>39</v>
      </c>
      <c r="E83" s="1"/>
      <c r="F83" s="1" t="s">
        <v>61</v>
      </c>
      <c r="G83" s="1" t="s">
        <v>148</v>
      </c>
      <c r="H83" s="1" t="s">
        <v>63</v>
      </c>
      <c r="I83" s="1" t="s">
        <v>149</v>
      </c>
      <c r="J83" s="1" t="n">
        <v>2</v>
      </c>
      <c r="K83" s="1" t="n">
        <f aca="false">LN(ABS(B83))</f>
        <v>1.33569819210503</v>
      </c>
      <c r="L83" s="1" t="n">
        <v>1.05</v>
      </c>
      <c r="M83" s="1" t="n">
        <v>1.05</v>
      </c>
      <c r="N83" s="1" t="n">
        <v>1</v>
      </c>
      <c r="O83" s="1" t="n">
        <v>1</v>
      </c>
      <c r="P83" s="1" t="n">
        <v>1.2</v>
      </c>
      <c r="Q83" s="1" t="n">
        <v>1.05</v>
      </c>
      <c r="R83" s="1" t="n">
        <f aca="false">0.5*SQRT(LN(L83)^2+LN(M83)^2+LN(N83)^2+LN(O83)^2+LN(P83)^2+LN(Q83)^2)</f>
        <v>0.100477099916861</v>
      </c>
      <c r="S83" s="5" t="b">
        <f aca="false">FALSE()</f>
        <v>0</v>
      </c>
      <c r="T83" s="1"/>
    </row>
    <row r="84" customFormat="false" ht="15" hidden="false" customHeight="false" outlineLevel="0" collapsed="false">
      <c r="A84" s="1" t="s">
        <v>150</v>
      </c>
      <c r="B84" s="1" t="n">
        <v>1.515</v>
      </c>
      <c r="C84" s="1" t="s">
        <v>77</v>
      </c>
      <c r="D84" s="1" t="s">
        <v>39</v>
      </c>
      <c r="E84" s="1"/>
      <c r="F84" s="1" t="s">
        <v>61</v>
      </c>
      <c r="G84" s="1" t="s">
        <v>151</v>
      </c>
      <c r="H84" s="1" t="s">
        <v>63</v>
      </c>
      <c r="I84" s="1" t="s">
        <v>152</v>
      </c>
      <c r="J84" s="1" t="n">
        <v>2</v>
      </c>
      <c r="K84" s="1" t="n">
        <f aca="false">LN(ABS(B84))</f>
        <v>0.415415438961332</v>
      </c>
      <c r="L84" s="1" t="n">
        <v>1.05</v>
      </c>
      <c r="M84" s="1" t="n">
        <v>1.05</v>
      </c>
      <c r="N84" s="1" t="n">
        <v>1</v>
      </c>
      <c r="O84" s="1" t="n">
        <v>1</v>
      </c>
      <c r="P84" s="1" t="n">
        <v>1.2</v>
      </c>
      <c r="Q84" s="1" t="n">
        <v>1.05</v>
      </c>
      <c r="R84" s="1" t="n">
        <f aca="false">0.5*SQRT(LN(L84)^2+LN(M84)^2+LN(N84)^2+LN(O84)^2+LN(P84)^2+LN(Q84)^2)</f>
        <v>0.100477099916861</v>
      </c>
      <c r="S84" s="5" t="b">
        <f aca="false">FALSE()</f>
        <v>0</v>
      </c>
      <c r="T84" s="1"/>
    </row>
    <row r="85" customFormat="false" ht="15" hidden="false" customHeight="false" outlineLevel="0" collapsed="false">
      <c r="A85" s="1" t="s">
        <v>153</v>
      </c>
      <c r="B85" s="1" t="n">
        <v>9.0256125</v>
      </c>
      <c r="C85" s="1" t="s">
        <v>77</v>
      </c>
      <c r="D85" s="1" t="s">
        <v>39</v>
      </c>
      <c r="E85" s="1"/>
      <c r="F85" s="1" t="s">
        <v>61</v>
      </c>
      <c r="G85" s="1" t="s">
        <v>154</v>
      </c>
      <c r="H85" s="1" t="s">
        <v>63</v>
      </c>
      <c r="I85" s="1" t="s">
        <v>155</v>
      </c>
      <c r="J85" s="1" t="n">
        <v>2</v>
      </c>
      <c r="K85" s="1" t="n">
        <f aca="false">LN(ABS(B85))</f>
        <v>2.20006636895209</v>
      </c>
      <c r="L85" s="1" t="n">
        <v>1.2</v>
      </c>
      <c r="M85" s="1" t="n">
        <v>1.1</v>
      </c>
      <c r="N85" s="1" t="n">
        <v>1.03</v>
      </c>
      <c r="O85" s="1" t="n">
        <v>1.02</v>
      </c>
      <c r="P85" s="1" t="n">
        <v>2</v>
      </c>
      <c r="Q85" s="1" t="n">
        <v>1.05</v>
      </c>
      <c r="R85" s="1" t="n">
        <f aca="false">0.5*SQRT(LN(L85)^2+LN(M85)^2+LN(N85)^2+LN(O85)^2+LN(P85)^2+LN(Q85)^2)</f>
        <v>0.3627755991387</v>
      </c>
      <c r="S85" s="5" t="b">
        <f aca="false">FALSE()</f>
        <v>0</v>
      </c>
      <c r="T85" s="1"/>
    </row>
    <row r="86" customFormat="false" ht="15" hidden="false" customHeight="false" outlineLevel="0" collapsed="false">
      <c r="A86" s="1" t="s">
        <v>156</v>
      </c>
      <c r="B86" s="1" t="n">
        <v>0.3598125</v>
      </c>
      <c r="C86" s="1" t="s">
        <v>67</v>
      </c>
      <c r="D86" s="1" t="s">
        <v>39</v>
      </c>
      <c r="E86" s="1"/>
      <c r="F86" s="1" t="s">
        <v>61</v>
      </c>
      <c r="G86" s="1" t="s">
        <v>157</v>
      </c>
      <c r="H86" s="1" t="s">
        <v>63</v>
      </c>
      <c r="I86" s="1" t="s">
        <v>158</v>
      </c>
      <c r="J86" s="1" t="n">
        <v>2</v>
      </c>
      <c r="K86" s="1" t="n">
        <f aca="false">LN(ABS(B86))</f>
        <v>-1.02217221654611</v>
      </c>
      <c r="L86" s="1" t="n">
        <v>1.2</v>
      </c>
      <c r="M86" s="1" t="n">
        <v>1.1</v>
      </c>
      <c r="N86" s="1" t="n">
        <v>1.03</v>
      </c>
      <c r="O86" s="1" t="n">
        <v>1.02</v>
      </c>
      <c r="P86" s="1" t="n">
        <v>2</v>
      </c>
      <c r="Q86" s="1" t="n">
        <v>1.05</v>
      </c>
      <c r="R86" s="1" t="n">
        <f aca="false">0.5*SQRT(LN(L86)^2+LN(M86)^2+LN(N86)^2+LN(O86)^2+LN(P86)^2+LN(Q86)^2)</f>
        <v>0.3627755991387</v>
      </c>
      <c r="S86" s="5" t="b">
        <f aca="false">FALSE()</f>
        <v>0</v>
      </c>
      <c r="T86" s="1"/>
    </row>
    <row r="87" customFormat="false" ht="15" hidden="false" customHeight="false" outlineLevel="0" collapsed="false">
      <c r="A87" s="1" t="s">
        <v>66</v>
      </c>
      <c r="B87" s="1" t="n">
        <v>0.48</v>
      </c>
      <c r="C87" s="1" t="s">
        <v>67</v>
      </c>
      <c r="D87" s="1" t="s">
        <v>39</v>
      </c>
      <c r="E87" s="1"/>
      <c r="F87" s="1" t="s">
        <v>61</v>
      </c>
      <c r="G87" s="1" t="s">
        <v>68</v>
      </c>
      <c r="H87" s="1" t="s">
        <v>63</v>
      </c>
      <c r="I87" s="1" t="s">
        <v>159</v>
      </c>
      <c r="J87" s="1" t="n">
        <v>2</v>
      </c>
      <c r="K87" s="1" t="n">
        <f aca="false">LN(ABS(B87))</f>
        <v>-0.7339691750802</v>
      </c>
      <c r="L87" s="1" t="n">
        <v>1.1</v>
      </c>
      <c r="M87" s="1" t="n">
        <v>1.05</v>
      </c>
      <c r="N87" s="1" t="n">
        <v>1</v>
      </c>
      <c r="O87" s="1" t="n">
        <v>1</v>
      </c>
      <c r="P87" s="1" t="n">
        <v>1.2</v>
      </c>
      <c r="Q87" s="1" t="n">
        <v>1.05</v>
      </c>
      <c r="R87" s="1" t="n">
        <f aca="false">0.5*SQRT(LN(L87)^2+LN(M87)^2+LN(N87)^2+LN(O87)^2+LN(P87)^2+LN(Q87)^2)</f>
        <v>0.108496705808822</v>
      </c>
      <c r="S87" s="5" t="b">
        <f aca="false">FALSE()</f>
        <v>0</v>
      </c>
      <c r="T87" s="1"/>
    </row>
    <row r="88" customFormat="false" ht="15" hidden="false" customHeight="false" outlineLevel="0" collapsed="false">
      <c r="A88" s="1" t="s">
        <v>70</v>
      </c>
      <c r="B88" s="1" t="n">
        <v>225.9</v>
      </c>
      <c r="C88" s="1" t="s">
        <v>67</v>
      </c>
      <c r="D88" s="1" t="s">
        <v>39</v>
      </c>
      <c r="E88" s="1"/>
      <c r="F88" s="1" t="s">
        <v>61</v>
      </c>
      <c r="G88" s="1" t="s">
        <v>71</v>
      </c>
      <c r="H88" s="1" t="s">
        <v>63</v>
      </c>
      <c r="I88" s="1" t="s">
        <v>160</v>
      </c>
      <c r="J88" s="1" t="n">
        <v>2</v>
      </c>
      <c r="K88" s="1" t="n">
        <f aca="false">LN(ABS(B88))</f>
        <v>5.42009242347396</v>
      </c>
      <c r="L88" s="1" t="n">
        <v>1.1</v>
      </c>
      <c r="M88" s="1" t="n">
        <v>1.05</v>
      </c>
      <c r="N88" s="1" t="n">
        <v>1</v>
      </c>
      <c r="O88" s="1" t="n">
        <v>1</v>
      </c>
      <c r="P88" s="1" t="n">
        <v>1.2</v>
      </c>
      <c r="Q88" s="1" t="n">
        <v>1.05</v>
      </c>
      <c r="R88" s="1" t="n">
        <f aca="false">0.5*SQRT(LN(L88)^2+LN(M88)^2+LN(N88)^2+LN(O88)^2+LN(P88)^2+LN(Q88)^2)</f>
        <v>0.108496705808822</v>
      </c>
      <c r="S88" s="5" t="b">
        <f aca="false">FALSE()</f>
        <v>0</v>
      </c>
      <c r="T88" s="1"/>
    </row>
    <row r="89" customFormat="false" ht="15" hidden="false" customHeight="false" outlineLevel="0" collapsed="false">
      <c r="A89" s="1" t="s">
        <v>59</v>
      </c>
      <c r="B89" s="1" t="n">
        <v>201.761800129283</v>
      </c>
      <c r="C89" s="1" t="s">
        <v>32</v>
      </c>
      <c r="D89" s="1" t="s">
        <v>60</v>
      </c>
      <c r="E89" s="1"/>
      <c r="F89" s="1" t="s">
        <v>61</v>
      </c>
      <c r="G89" s="1" t="s">
        <v>62</v>
      </c>
      <c r="H89" s="1" t="s">
        <v>63</v>
      </c>
      <c r="I89" s="1" t="s">
        <v>161</v>
      </c>
      <c r="J89" s="1" t="n">
        <v>2</v>
      </c>
      <c r="K89" s="1" t="n">
        <f aca="false">LN(ABS(B89))</f>
        <v>5.30708779430846</v>
      </c>
      <c r="L89" s="1" t="n">
        <v>1.1</v>
      </c>
      <c r="M89" s="1" t="n">
        <v>1.05</v>
      </c>
      <c r="N89" s="1" t="n">
        <v>1</v>
      </c>
      <c r="O89" s="1" t="n">
        <v>1</v>
      </c>
      <c r="P89" s="1" t="n">
        <v>1.2</v>
      </c>
      <c r="Q89" s="1" t="n">
        <v>1.05</v>
      </c>
      <c r="R89" s="1" t="n">
        <f aca="false">0.5*SQRT(LN(L89)^2+LN(M89)^2+LN(N89)^2+LN(O89)^2+LN(P89)^2+LN(Q89)^2)</f>
        <v>0.108496705808822</v>
      </c>
      <c r="S89" s="5" t="b">
        <f aca="false">FALSE()</f>
        <v>0</v>
      </c>
      <c r="T89" s="1" t="s">
        <v>162</v>
      </c>
    </row>
    <row r="90" customFormat="false" ht="15" hidden="false" customHeight="false" outlineLevel="0" collapsed="false">
      <c r="A90" s="1" t="s">
        <v>163</v>
      </c>
      <c r="B90" s="1" t="n">
        <v>3</v>
      </c>
      <c r="C90" s="1"/>
      <c r="D90" s="1" t="s">
        <v>39</v>
      </c>
      <c r="E90" s="1" t="s">
        <v>85</v>
      </c>
      <c r="F90" s="1" t="s">
        <v>86</v>
      </c>
      <c r="G90" s="1"/>
      <c r="H90" s="1" t="s">
        <v>87</v>
      </c>
      <c r="I90" s="1" t="s">
        <v>164</v>
      </c>
      <c r="J90" s="1" t="n">
        <v>2</v>
      </c>
      <c r="K90" s="1" t="n">
        <f aca="false">LN(ABS(B90))</f>
        <v>1.09861228866811</v>
      </c>
      <c r="L90" s="1" t="n">
        <v>1.1</v>
      </c>
      <c r="M90" s="1" t="n">
        <v>1.05</v>
      </c>
      <c r="N90" s="1" t="n">
        <v>1</v>
      </c>
      <c r="O90" s="1" t="n">
        <v>1</v>
      </c>
      <c r="P90" s="1" t="n">
        <v>1.2</v>
      </c>
      <c r="Q90" s="1" t="n">
        <v>1.05</v>
      </c>
      <c r="R90" s="1" t="n">
        <f aca="false">0.5*SQRT(LN(L90)^2+LN(M90)^2+LN(N90)^2+LN(O90)^2+LN(P90)^2+LN(Q90)^2)</f>
        <v>0.108496705808822</v>
      </c>
      <c r="S90" s="5" t="b">
        <f aca="false">FALSE()</f>
        <v>0</v>
      </c>
      <c r="T90" s="1"/>
    </row>
    <row r="91" customFormat="false" ht="15" hidden="false" customHeight="false" outlineLevel="0" collapsed="false">
      <c r="A91" s="1" t="s">
        <v>100</v>
      </c>
      <c r="B91" s="1" t="n">
        <v>0.056</v>
      </c>
      <c r="C91" s="1"/>
      <c r="D91" s="1" t="s">
        <v>101</v>
      </c>
      <c r="E91" s="1" t="s">
        <v>85</v>
      </c>
      <c r="F91" s="1" t="s">
        <v>86</v>
      </c>
      <c r="G91" s="1"/>
      <c r="H91" s="1" t="s">
        <v>87</v>
      </c>
      <c r="I91" s="1" t="s">
        <v>165</v>
      </c>
      <c r="J91" s="1" t="n">
        <v>2</v>
      </c>
      <c r="K91" s="1" t="n">
        <f aca="false">LN(ABS(B91))</f>
        <v>-2.88240358824699</v>
      </c>
      <c r="L91" s="1" t="n">
        <v>1.1</v>
      </c>
      <c r="M91" s="1" t="n">
        <v>1.05</v>
      </c>
      <c r="N91" s="1" t="n">
        <v>1</v>
      </c>
      <c r="O91" s="1" t="n">
        <v>1</v>
      </c>
      <c r="P91" s="1" t="n">
        <v>1.2</v>
      </c>
      <c r="Q91" s="1" t="n">
        <v>1.05</v>
      </c>
      <c r="R91" s="1" t="n">
        <f aca="false">0.5*SQRT(LN(L91)^2+LN(M91)^2+LN(N91)^2+LN(O91)^2+LN(P91)^2+LN(Q91)^2)</f>
        <v>0.108496705808822</v>
      </c>
      <c r="S91" s="5" t="b">
        <f aca="false">FALSE()</f>
        <v>0</v>
      </c>
      <c r="T91" s="1"/>
    </row>
    <row r="92" customFormat="false" ht="15" hidden="false" customHeight="false" outlineLevel="0" collapsed="false">
      <c r="A92" s="1" t="s">
        <v>166</v>
      </c>
      <c r="B92" s="1" t="n">
        <v>-803.622288821732</v>
      </c>
      <c r="C92" s="1" t="s">
        <v>32</v>
      </c>
      <c r="D92" s="1" t="s">
        <v>39</v>
      </c>
      <c r="E92" s="1"/>
      <c r="F92" s="1" t="s">
        <v>61</v>
      </c>
      <c r="G92" s="1" t="s">
        <v>167</v>
      </c>
      <c r="H92" s="1" t="s">
        <v>24</v>
      </c>
      <c r="I92" s="1" t="s">
        <v>168</v>
      </c>
      <c r="J92" s="1" t="n">
        <v>2</v>
      </c>
      <c r="K92" s="1" t="n">
        <f aca="false">LN(ABS(B92))</f>
        <v>6.68912936877034</v>
      </c>
      <c r="L92" s="1" t="n">
        <v>1.1</v>
      </c>
      <c r="M92" s="1" t="n">
        <v>1.05</v>
      </c>
      <c r="N92" s="1" t="n">
        <v>1</v>
      </c>
      <c r="O92" s="1" t="n">
        <v>1</v>
      </c>
      <c r="P92" s="1" t="n">
        <v>1.2</v>
      </c>
      <c r="Q92" s="1" t="n">
        <v>1.05</v>
      </c>
      <c r="R92" s="1" t="n">
        <f aca="false">0.5*SQRT(LN(L92)^2+LN(M92)^2+LN(N92)^2+LN(O92)^2+LN(P92)^2+LN(Q92)^2)</f>
        <v>0.108496705808822</v>
      </c>
      <c r="S92" s="5" t="b">
        <f aca="false">TRUE()</f>
        <v>1</v>
      </c>
      <c r="T92" s="1"/>
    </row>
    <row r="94" customFormat="false" ht="15" hidden="false" customHeight="false" outlineLevel="0" collapsed="false">
      <c r="A94" s="3" t="s">
        <v>25</v>
      </c>
      <c r="B94" s="3" t="s">
        <v>169</v>
      </c>
    </row>
    <row r="95" customFormat="false" ht="15" hidden="false" customHeight="false" outlineLevel="0" collapsed="false">
      <c r="A95" s="1" t="s">
        <v>27</v>
      </c>
      <c r="B95" s="1" t="s">
        <v>170</v>
      </c>
    </row>
    <row r="96" customFormat="false" ht="15" hidden="false" customHeight="false" outlineLevel="0" collapsed="false">
      <c r="A96" s="1" t="s">
        <v>29</v>
      </c>
      <c r="B96" s="1" t="s">
        <v>30</v>
      </c>
    </row>
    <row r="97" customFormat="false" ht="15" hidden="false" customHeight="false" outlineLevel="0" collapsed="false">
      <c r="A97" s="1" t="s">
        <v>31</v>
      </c>
      <c r="B97" s="1" t="s">
        <v>32</v>
      </c>
    </row>
    <row r="98" customFormat="false" ht="15" hidden="false" customHeight="false" outlineLevel="0" collapsed="false">
      <c r="A98" s="1" t="s">
        <v>33</v>
      </c>
      <c r="B98" s="1" t="s">
        <v>34</v>
      </c>
    </row>
    <row r="99" customFormat="false" ht="15" hidden="false" customHeight="false" outlineLevel="0" collapsed="false">
      <c r="A99" s="1" t="s">
        <v>35</v>
      </c>
      <c r="B99" s="1" t="n">
        <v>6.705E-005</v>
      </c>
    </row>
    <row r="100" customFormat="false" ht="15" hidden="false" customHeight="false" outlineLevel="0" collapsed="false">
      <c r="A100" s="1" t="s">
        <v>36</v>
      </c>
      <c r="B100" s="1" t="s">
        <v>171</v>
      </c>
    </row>
    <row r="101" customFormat="false" ht="15" hidden="false" customHeight="false" outlineLevel="0" collapsed="false">
      <c r="A101" s="1" t="s">
        <v>38</v>
      </c>
      <c r="B101" s="1" t="s">
        <v>39</v>
      </c>
    </row>
    <row r="102" customFormat="false" ht="15" hidden="false" customHeight="false" outlineLevel="0" collapsed="false">
      <c r="A102" s="3" t="s">
        <v>40</v>
      </c>
    </row>
    <row r="103" customFormat="false" ht="15" hidden="false" customHeight="false" outlineLevel="0" collapsed="false">
      <c r="A103" s="4" t="s">
        <v>41</v>
      </c>
      <c r="B103" s="4" t="s">
        <v>42</v>
      </c>
      <c r="C103" s="4" t="s">
        <v>31</v>
      </c>
      <c r="D103" s="4" t="s">
        <v>38</v>
      </c>
      <c r="E103" s="4" t="s">
        <v>43</v>
      </c>
      <c r="F103" s="4" t="s">
        <v>44</v>
      </c>
      <c r="G103" s="4" t="s">
        <v>36</v>
      </c>
      <c r="H103" s="4" t="s">
        <v>45</v>
      </c>
      <c r="I103" s="4" t="s">
        <v>27</v>
      </c>
      <c r="J103" s="4" t="s">
        <v>46</v>
      </c>
      <c r="K103" s="4" t="s">
        <v>47</v>
      </c>
      <c r="L103" s="4" t="s">
        <v>48</v>
      </c>
      <c r="M103" s="4" t="s">
        <v>49</v>
      </c>
      <c r="N103" s="4" t="s">
        <v>50</v>
      </c>
      <c r="O103" s="4" t="s">
        <v>51</v>
      </c>
      <c r="P103" s="4" t="s">
        <v>52</v>
      </c>
      <c r="Q103" s="4" t="s">
        <v>53</v>
      </c>
      <c r="R103" s="4" t="s">
        <v>54</v>
      </c>
      <c r="S103" s="4" t="s">
        <v>55</v>
      </c>
      <c r="T103" s="4" t="s">
        <v>56</v>
      </c>
    </row>
    <row r="104" customFormat="false" ht="15" hidden="false" customHeight="false" outlineLevel="0" collapsed="false">
      <c r="A104" s="1" t="s">
        <v>169</v>
      </c>
      <c r="B104" s="1" t="n">
        <v>6.705E-005</v>
      </c>
      <c r="C104" s="1" t="s">
        <v>32</v>
      </c>
      <c r="D104" s="1" t="s">
        <v>39</v>
      </c>
      <c r="E104" s="1"/>
      <c r="F104" s="1" t="s">
        <v>57</v>
      </c>
      <c r="G104" s="1" t="s">
        <v>171</v>
      </c>
      <c r="H104" s="1" t="s">
        <v>24</v>
      </c>
      <c r="I104" s="1" t="s">
        <v>58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customFormat="false" ht="15" hidden="false" customHeight="false" outlineLevel="0" collapsed="false">
      <c r="A105" s="1" t="s">
        <v>172</v>
      </c>
      <c r="B105" s="1" t="n">
        <v>0.000947978</v>
      </c>
      <c r="C105" s="1" t="s">
        <v>77</v>
      </c>
      <c r="D105" s="1" t="s">
        <v>39</v>
      </c>
      <c r="E105" s="1"/>
      <c r="F105" s="1" t="s">
        <v>61</v>
      </c>
      <c r="G105" s="1" t="s">
        <v>173</v>
      </c>
      <c r="H105" s="1" t="s">
        <v>63</v>
      </c>
      <c r="I105" s="1" t="s">
        <v>174</v>
      </c>
      <c r="J105" s="1" t="n">
        <v>2</v>
      </c>
      <c r="K105" s="1" t="n">
        <f aca="false">LN(ABS(B105))</f>
        <v>-6.96117926272959</v>
      </c>
      <c r="L105" s="1" t="n">
        <v>1.05</v>
      </c>
      <c r="M105" s="1" t="n">
        <v>1.05</v>
      </c>
      <c r="N105" s="1" t="n">
        <v>1</v>
      </c>
      <c r="O105" s="1" t="n">
        <v>1</v>
      </c>
      <c r="P105" s="1" t="n">
        <v>1.2</v>
      </c>
      <c r="Q105" s="1" t="n">
        <v>1.05</v>
      </c>
      <c r="R105" s="1" t="n">
        <f aca="false">0.5*SQRT(LN(L105)^2+LN(M105)^2+LN(N105)^2+LN(O105)^2+LN(P105)^2+LN(Q105)^2)</f>
        <v>0.100477099916861</v>
      </c>
      <c r="S105" s="5" t="b">
        <f aca="false">FALSE()</f>
        <v>0</v>
      </c>
      <c r="T105" s="1"/>
    </row>
    <row r="106" customFormat="false" ht="15" hidden="false" customHeight="false" outlineLevel="0" collapsed="false">
      <c r="A106" s="1" t="s">
        <v>175</v>
      </c>
      <c r="B106" s="1" t="n">
        <v>0.003</v>
      </c>
      <c r="C106" s="1" t="s">
        <v>77</v>
      </c>
      <c r="D106" s="1" t="s">
        <v>39</v>
      </c>
      <c r="E106" s="1"/>
      <c r="F106" s="1" t="s">
        <v>61</v>
      </c>
      <c r="G106" s="1" t="s">
        <v>176</v>
      </c>
      <c r="H106" s="1" t="s">
        <v>63</v>
      </c>
      <c r="I106" s="1"/>
      <c r="J106" s="1" t="n">
        <v>2</v>
      </c>
      <c r="K106" s="1" t="n">
        <f aca="false">LN(ABS(B106))</f>
        <v>-5.80914299031403</v>
      </c>
      <c r="L106" s="1" t="n">
        <v>1.05</v>
      </c>
      <c r="M106" s="1" t="n">
        <v>1.05</v>
      </c>
      <c r="N106" s="1" t="n">
        <v>1</v>
      </c>
      <c r="O106" s="1" t="n">
        <v>1</v>
      </c>
      <c r="P106" s="1" t="n">
        <v>1.2</v>
      </c>
      <c r="Q106" s="1" t="n">
        <v>1.05</v>
      </c>
      <c r="R106" s="1" t="n">
        <f aca="false">0.5*SQRT(LN(L106)^2+LN(M106)^2+LN(N106)^2+LN(O106)^2+LN(P106)^2+LN(Q106)^2)</f>
        <v>0.100477099916861</v>
      </c>
      <c r="S106" s="5" t="b">
        <f aca="false">FALSE()</f>
        <v>0</v>
      </c>
      <c r="T106" s="1"/>
    </row>
    <row r="107" customFormat="false" ht="15" hidden="false" customHeight="false" outlineLevel="0" collapsed="false">
      <c r="A107" s="1" t="s">
        <v>106</v>
      </c>
      <c r="B107" s="1" t="n">
        <v>0.00072128</v>
      </c>
      <c r="C107" s="1" t="s">
        <v>67</v>
      </c>
      <c r="D107" s="1" t="s">
        <v>39</v>
      </c>
      <c r="E107" s="1"/>
      <c r="F107" s="1" t="s">
        <v>61</v>
      </c>
      <c r="G107" s="1" t="s">
        <v>107</v>
      </c>
      <c r="H107" s="1" t="s">
        <v>63</v>
      </c>
      <c r="I107" s="1" t="s">
        <v>177</v>
      </c>
      <c r="J107" s="1" t="n">
        <v>2</v>
      </c>
      <c r="K107" s="1" t="n">
        <f aca="false">LN(ABS(B107))</f>
        <v>-7.23448314655292</v>
      </c>
      <c r="L107" s="1" t="n">
        <v>1.05</v>
      </c>
      <c r="M107" s="1" t="n">
        <v>1.05</v>
      </c>
      <c r="N107" s="1" t="n">
        <v>1</v>
      </c>
      <c r="O107" s="1" t="n">
        <v>1</v>
      </c>
      <c r="P107" s="1" t="n">
        <v>1.2</v>
      </c>
      <c r="Q107" s="1" t="n">
        <v>1.05</v>
      </c>
      <c r="R107" s="1" t="n">
        <f aca="false">0.5*SQRT(LN(L107)^2+LN(M107)^2+LN(N107)^2+LN(O107)^2+LN(P107)^2+LN(Q107)^2)</f>
        <v>0.100477099916861</v>
      </c>
      <c r="S107" s="5" t="b">
        <f aca="false">FALSE()</f>
        <v>0</v>
      </c>
      <c r="T107" s="1"/>
    </row>
    <row r="108" customFormat="false" ht="15" hidden="false" customHeight="false" outlineLevel="0" collapsed="false">
      <c r="A108" s="1" t="s">
        <v>66</v>
      </c>
      <c r="B108" s="1" t="n">
        <v>0.0003</v>
      </c>
      <c r="C108" s="1" t="s">
        <v>67</v>
      </c>
      <c r="D108" s="1" t="s">
        <v>39</v>
      </c>
      <c r="E108" s="1"/>
      <c r="F108" s="1" t="s">
        <v>61</v>
      </c>
      <c r="G108" s="1" t="s">
        <v>68</v>
      </c>
      <c r="H108" s="1" t="s">
        <v>63</v>
      </c>
      <c r="I108" s="1" t="s">
        <v>178</v>
      </c>
      <c r="J108" s="1" t="n">
        <v>2</v>
      </c>
      <c r="K108" s="1" t="n">
        <f aca="false">LN(ABS(B108))</f>
        <v>-8.11172808330807</v>
      </c>
      <c r="L108" s="1" t="n">
        <v>1.2</v>
      </c>
      <c r="M108" s="1" t="n">
        <v>1.1</v>
      </c>
      <c r="N108" s="1" t="n">
        <v>1.03</v>
      </c>
      <c r="O108" s="1" t="n">
        <v>1.02</v>
      </c>
      <c r="P108" s="1" t="n">
        <v>2</v>
      </c>
      <c r="Q108" s="1" t="n">
        <v>1.05</v>
      </c>
      <c r="R108" s="1" t="n">
        <f aca="false">0.5*SQRT(LN(L108)^2+LN(M108)^2+LN(N108)^2+LN(O108)^2+LN(P108)^2+LN(Q108)^2)</f>
        <v>0.3627755991387</v>
      </c>
      <c r="S108" s="5" t="b">
        <f aca="false">FALSE()</f>
        <v>0</v>
      </c>
      <c r="T108" s="1"/>
    </row>
    <row r="109" customFormat="false" ht="15" hidden="false" customHeight="false" outlineLevel="0" collapsed="false">
      <c r="A109" s="1" t="s">
        <v>113</v>
      </c>
      <c r="B109" s="1" t="n">
        <v>1</v>
      </c>
      <c r="C109" s="1" t="s">
        <v>67</v>
      </c>
      <c r="D109" s="1" t="s">
        <v>39</v>
      </c>
      <c r="E109" s="1"/>
      <c r="F109" s="1" t="s">
        <v>61</v>
      </c>
      <c r="G109" s="1" t="s">
        <v>114</v>
      </c>
      <c r="H109" s="1" t="s">
        <v>63</v>
      </c>
      <c r="I109" s="1"/>
      <c r="J109" s="1" t="n">
        <v>2</v>
      </c>
      <c r="K109" s="1" t="n">
        <f aca="false">LN(ABS(B109))</f>
        <v>0</v>
      </c>
      <c r="L109" s="1" t="n">
        <v>1.05</v>
      </c>
      <c r="M109" s="1" t="n">
        <v>1.05</v>
      </c>
      <c r="N109" s="1" t="n">
        <v>1</v>
      </c>
      <c r="O109" s="1" t="n">
        <v>1</v>
      </c>
      <c r="P109" s="1" t="n">
        <v>1.2</v>
      </c>
      <c r="Q109" s="1" t="n">
        <v>1.05</v>
      </c>
      <c r="R109" s="1" t="n">
        <f aca="false">0.5*SQRT(LN(L109)^2+LN(M109)^2+LN(N109)^2+LN(O109)^2+LN(P109)^2+LN(Q109)^2)</f>
        <v>0.100477099916861</v>
      </c>
      <c r="S109" s="5" t="b">
        <f aca="false">FALSE()</f>
        <v>0</v>
      </c>
      <c r="T109" s="1"/>
    </row>
    <row r="110" customFormat="false" ht="15" hidden="false" customHeight="false" outlineLevel="0" collapsed="false">
      <c r="A110" s="1" t="s">
        <v>70</v>
      </c>
      <c r="B110" s="1" t="n">
        <v>0.5</v>
      </c>
      <c r="C110" s="1" t="s">
        <v>67</v>
      </c>
      <c r="D110" s="1" t="s">
        <v>39</v>
      </c>
      <c r="E110" s="1"/>
      <c r="F110" s="1" t="s">
        <v>61</v>
      </c>
      <c r="G110" s="1" t="s">
        <v>71</v>
      </c>
      <c r="H110" s="1" t="s">
        <v>63</v>
      </c>
      <c r="I110" s="1" t="s">
        <v>179</v>
      </c>
      <c r="J110" s="1" t="n">
        <v>2</v>
      </c>
      <c r="K110" s="1" t="n">
        <f aca="false">LN(ABS(B110))</f>
        <v>-0.693147180559945</v>
      </c>
      <c r="L110" s="1" t="n">
        <v>1.2</v>
      </c>
      <c r="M110" s="1" t="n">
        <v>1.1</v>
      </c>
      <c r="N110" s="1" t="n">
        <v>1.03</v>
      </c>
      <c r="O110" s="1" t="n">
        <v>1.02</v>
      </c>
      <c r="P110" s="1" t="n">
        <v>2</v>
      </c>
      <c r="Q110" s="1" t="n">
        <v>1.05</v>
      </c>
      <c r="R110" s="1" t="n">
        <f aca="false">0.5*SQRT(LN(L110)^2+LN(M110)^2+LN(N110)^2+LN(O110)^2+LN(P110)^2+LN(Q110)^2)</f>
        <v>0.3627755991387</v>
      </c>
      <c r="S110" s="5" t="b">
        <f aca="false">FALSE()</f>
        <v>0</v>
      </c>
      <c r="T110" s="1"/>
    </row>
    <row r="111" customFormat="false" ht="15" hidden="false" customHeight="false" outlineLevel="0" collapsed="false">
      <c r="A111" s="1" t="s">
        <v>59</v>
      </c>
      <c r="B111" s="1" t="n">
        <v>1.15777777777778</v>
      </c>
      <c r="C111" s="1" t="s">
        <v>32</v>
      </c>
      <c r="D111" s="1" t="s">
        <v>60</v>
      </c>
      <c r="E111" s="1"/>
      <c r="F111" s="1" t="s">
        <v>61</v>
      </c>
      <c r="G111" s="1" t="s">
        <v>62</v>
      </c>
      <c r="H111" s="1" t="s">
        <v>63</v>
      </c>
      <c r="I111" s="1" t="s">
        <v>180</v>
      </c>
      <c r="J111" s="1" t="n">
        <v>2</v>
      </c>
      <c r="K111" s="1" t="n">
        <f aca="false">LN(ABS(B111))</f>
        <v>0.146502458989002</v>
      </c>
      <c r="L111" s="1" t="n">
        <v>1.1</v>
      </c>
      <c r="M111" s="1" t="n">
        <v>1.05</v>
      </c>
      <c r="N111" s="1" t="n">
        <v>1</v>
      </c>
      <c r="O111" s="1" t="n">
        <v>1</v>
      </c>
      <c r="P111" s="1" t="n">
        <v>1.2</v>
      </c>
      <c r="Q111" s="1" t="n">
        <v>1.05</v>
      </c>
      <c r="R111" s="1" t="n">
        <f aca="false">0.5*SQRT(LN(L111)^2+LN(M111)^2+LN(N111)^2+LN(O111)^2+LN(P111)^2+LN(Q111)^2)</f>
        <v>0.108496705808822</v>
      </c>
      <c r="S111" s="5" t="b">
        <f aca="false">FALSE()</f>
        <v>0</v>
      </c>
      <c r="T111" s="1"/>
    </row>
    <row r="112" customFormat="false" ht="15" hidden="false" customHeight="false" outlineLevel="0" collapsed="false">
      <c r="A112" s="1" t="s">
        <v>100</v>
      </c>
      <c r="B112" s="1" t="n">
        <v>9.984E-005</v>
      </c>
      <c r="C112" s="1"/>
      <c r="D112" s="1" t="s">
        <v>101</v>
      </c>
      <c r="E112" s="1" t="s">
        <v>85</v>
      </c>
      <c r="F112" s="1" t="s">
        <v>86</v>
      </c>
      <c r="G112" s="1"/>
      <c r="H112" s="1" t="s">
        <v>87</v>
      </c>
      <c r="I112" s="1"/>
      <c r="J112" s="1" t="n">
        <v>2</v>
      </c>
      <c r="K112" s="1" t="n">
        <f aca="false">LN(ABS(B112))</f>
        <v>-9.21194165334316</v>
      </c>
      <c r="L112" s="1" t="n">
        <v>1.2</v>
      </c>
      <c r="M112" s="1" t="n">
        <v>1.1</v>
      </c>
      <c r="N112" s="1" t="n">
        <v>1.03</v>
      </c>
      <c r="O112" s="1" t="n">
        <v>1.02</v>
      </c>
      <c r="P112" s="1" t="n">
        <v>2</v>
      </c>
      <c r="Q112" s="1" t="n">
        <v>1.05</v>
      </c>
      <c r="R112" s="1" t="n">
        <f aca="false">0.5*SQRT(LN(L112)^2+LN(M112)^2+LN(N112)^2+LN(O112)^2+LN(P112)^2+LN(Q112)^2)</f>
        <v>0.3627755991387</v>
      </c>
      <c r="S112" s="5" t="b">
        <f aca="false">FALSE()</f>
        <v>0</v>
      </c>
      <c r="T112" s="1"/>
    </row>
    <row r="113" customFormat="false" ht="15" hidden="false" customHeight="false" outlineLevel="0" collapsed="false">
      <c r="A113" s="1" t="s">
        <v>166</v>
      </c>
      <c r="B113" s="1" t="n">
        <v>-1.40563635222162</v>
      </c>
      <c r="C113" s="1" t="s">
        <v>32</v>
      </c>
      <c r="D113" s="1" t="s">
        <v>39</v>
      </c>
      <c r="E113" s="1"/>
      <c r="F113" s="1" t="s">
        <v>61</v>
      </c>
      <c r="G113" s="1" t="s">
        <v>167</v>
      </c>
      <c r="H113" s="1" t="s">
        <v>24</v>
      </c>
      <c r="I113" s="1" t="s">
        <v>181</v>
      </c>
      <c r="J113" s="1" t="n">
        <v>2</v>
      </c>
      <c r="K113" s="1" t="n">
        <f aca="false">LN(ABS(B113))</f>
        <v>0.340490119979221</v>
      </c>
      <c r="L113" s="1" t="n">
        <v>1.1</v>
      </c>
      <c r="M113" s="1" t="n">
        <v>1.05</v>
      </c>
      <c r="N113" s="1" t="n">
        <v>1</v>
      </c>
      <c r="O113" s="1" t="n">
        <v>1</v>
      </c>
      <c r="P113" s="1" t="n">
        <v>1.2</v>
      </c>
      <c r="Q113" s="1" t="n">
        <v>1.05</v>
      </c>
      <c r="R113" s="1" t="n">
        <f aca="false">0.5*SQRT(LN(L113)^2+LN(M113)^2+LN(N113)^2+LN(O113)^2+LN(P113)^2+LN(Q113)^2)</f>
        <v>0.108496705808822</v>
      </c>
      <c r="S113" s="5" t="b">
        <f aca="false">TRUE()</f>
        <v>1</v>
      </c>
      <c r="T113" s="1"/>
    </row>
    <row r="115" customFormat="false" ht="15" hidden="false" customHeight="false" outlineLevel="0" collapsed="false">
      <c r="A115" s="3" t="s">
        <v>25</v>
      </c>
      <c r="B115" s="3" t="s">
        <v>182</v>
      </c>
    </row>
    <row r="116" customFormat="false" ht="15" hidden="false" customHeight="false" outlineLevel="0" collapsed="false">
      <c r="A116" s="1" t="s">
        <v>27</v>
      </c>
      <c r="B116" s="1" t="s">
        <v>183</v>
      </c>
    </row>
    <row r="117" customFormat="false" ht="15" hidden="false" customHeight="false" outlineLevel="0" collapsed="false">
      <c r="A117" s="1" t="s">
        <v>29</v>
      </c>
      <c r="B117" s="1" t="s">
        <v>30</v>
      </c>
    </row>
    <row r="118" customFormat="false" ht="15" hidden="false" customHeight="false" outlineLevel="0" collapsed="false">
      <c r="A118" s="1" t="s">
        <v>31</v>
      </c>
      <c r="B118" s="1" t="s">
        <v>32</v>
      </c>
    </row>
    <row r="119" customFormat="false" ht="15" hidden="false" customHeight="false" outlineLevel="0" collapsed="false">
      <c r="A119" s="1" t="s">
        <v>33</v>
      </c>
      <c r="B119" s="1" t="s">
        <v>34</v>
      </c>
    </row>
    <row r="120" customFormat="false" ht="15" hidden="false" customHeight="false" outlineLevel="0" collapsed="false">
      <c r="A120" s="1" t="s">
        <v>35</v>
      </c>
      <c r="B120" s="1" t="n">
        <v>90.1068402478025</v>
      </c>
    </row>
    <row r="121" customFormat="false" ht="15" hidden="false" customHeight="false" outlineLevel="0" collapsed="false">
      <c r="A121" s="1" t="s">
        <v>36</v>
      </c>
      <c r="B121" s="1" t="s">
        <v>184</v>
      </c>
    </row>
    <row r="122" customFormat="false" ht="15" hidden="false" customHeight="false" outlineLevel="0" collapsed="false">
      <c r="A122" s="1" t="s">
        <v>38</v>
      </c>
      <c r="B122" s="1" t="s">
        <v>39</v>
      </c>
    </row>
    <row r="123" customFormat="false" ht="15" hidden="false" customHeight="false" outlineLevel="0" collapsed="false">
      <c r="A123" s="3" t="s">
        <v>40</v>
      </c>
    </row>
    <row r="124" customFormat="false" ht="15" hidden="false" customHeight="false" outlineLevel="0" collapsed="false">
      <c r="A124" s="4" t="s">
        <v>41</v>
      </c>
      <c r="B124" s="4" t="s">
        <v>42</v>
      </c>
      <c r="C124" s="4" t="s">
        <v>31</v>
      </c>
      <c r="D124" s="4" t="s">
        <v>38</v>
      </c>
      <c r="E124" s="4" t="s">
        <v>43</v>
      </c>
      <c r="F124" s="4" t="s">
        <v>44</v>
      </c>
      <c r="G124" s="4" t="s">
        <v>36</v>
      </c>
      <c r="H124" s="4" t="s">
        <v>45</v>
      </c>
      <c r="I124" s="4" t="s">
        <v>27</v>
      </c>
      <c r="J124" s="4" t="s">
        <v>46</v>
      </c>
      <c r="K124" s="4" t="s">
        <v>47</v>
      </c>
      <c r="L124" s="4" t="s">
        <v>48</v>
      </c>
      <c r="M124" s="4" t="s">
        <v>49</v>
      </c>
      <c r="N124" s="4" t="s">
        <v>50</v>
      </c>
      <c r="O124" s="4" t="s">
        <v>51</v>
      </c>
      <c r="P124" s="4" t="s">
        <v>52</v>
      </c>
      <c r="Q124" s="4" t="s">
        <v>53</v>
      </c>
      <c r="R124" s="4" t="s">
        <v>54</v>
      </c>
      <c r="S124" s="4" t="s">
        <v>55</v>
      </c>
      <c r="T124" s="4" t="s">
        <v>56</v>
      </c>
    </row>
    <row r="125" customFormat="false" ht="15" hidden="false" customHeight="false" outlineLevel="0" collapsed="false">
      <c r="A125" s="1" t="s">
        <v>182</v>
      </c>
      <c r="B125" s="1" t="n">
        <v>90.1068402478025</v>
      </c>
      <c r="C125" s="1" t="s">
        <v>32</v>
      </c>
      <c r="D125" s="1" t="s">
        <v>39</v>
      </c>
      <c r="E125" s="1"/>
      <c r="F125" s="1" t="s">
        <v>57</v>
      </c>
      <c r="G125" s="1" t="s">
        <v>184</v>
      </c>
      <c r="H125" s="1" t="s">
        <v>24</v>
      </c>
      <c r="I125" s="1" t="s">
        <v>58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customFormat="false" ht="15" hidden="false" customHeight="false" outlineLevel="0" collapsed="false">
      <c r="A126" s="1" t="s">
        <v>136</v>
      </c>
      <c r="B126" s="1" t="n">
        <v>0.159049</v>
      </c>
      <c r="C126" s="1" t="s">
        <v>32</v>
      </c>
      <c r="D126" s="1" t="s">
        <v>39</v>
      </c>
      <c r="E126" s="1"/>
      <c r="F126" s="1" t="s">
        <v>61</v>
      </c>
      <c r="G126" s="1" t="s">
        <v>138</v>
      </c>
      <c r="H126" s="1" t="s">
        <v>24</v>
      </c>
      <c r="I126" s="1"/>
      <c r="J126" s="1" t="n">
        <v>2</v>
      </c>
      <c r="K126" s="1" t="n">
        <f aca="false">LN(ABS(B126))</f>
        <v>-1.83854294813778</v>
      </c>
      <c r="L126" s="1" t="n">
        <v>1.1</v>
      </c>
      <c r="M126" s="1" t="n">
        <v>1.05</v>
      </c>
      <c r="N126" s="1" t="n">
        <v>1</v>
      </c>
      <c r="O126" s="1" t="n">
        <v>1</v>
      </c>
      <c r="P126" s="1" t="n">
        <v>1.2</v>
      </c>
      <c r="Q126" s="1" t="n">
        <v>1.05</v>
      </c>
      <c r="R126" s="1" t="n">
        <f aca="false">0.5*SQRT(LN(L126)^2+LN(M126)^2+LN(N126)^2+LN(O126)^2+LN(P126)^2+LN(Q126)^2)</f>
        <v>0.108496705808822</v>
      </c>
      <c r="S126" s="5" t="b">
        <f aca="false">FALSE()</f>
        <v>0</v>
      </c>
      <c r="T126" s="1"/>
    </row>
    <row r="127" customFormat="false" ht="15" hidden="false" customHeight="false" outlineLevel="0" collapsed="false">
      <c r="A127" s="1" t="s">
        <v>169</v>
      </c>
      <c r="B127" s="1" t="n">
        <v>0.00033525</v>
      </c>
      <c r="C127" s="1" t="s">
        <v>32</v>
      </c>
      <c r="D127" s="1" t="s">
        <v>39</v>
      </c>
      <c r="E127" s="1"/>
      <c r="F127" s="1" t="s">
        <v>61</v>
      </c>
      <c r="G127" s="1" t="s">
        <v>171</v>
      </c>
      <c r="H127" s="1" t="s">
        <v>24</v>
      </c>
      <c r="I127" s="1"/>
      <c r="J127" s="1" t="n">
        <v>2</v>
      </c>
      <c r="K127" s="1" t="n">
        <f aca="false">LN(ABS(B127))</f>
        <v>-8.00063403580249</v>
      </c>
      <c r="L127" s="1" t="n">
        <v>1.1</v>
      </c>
      <c r="M127" s="1" t="n">
        <v>1.05</v>
      </c>
      <c r="N127" s="1" t="n">
        <v>1</v>
      </c>
      <c r="O127" s="1" t="n">
        <v>1</v>
      </c>
      <c r="P127" s="1" t="n">
        <v>1.2</v>
      </c>
      <c r="Q127" s="1" t="n">
        <v>1.05</v>
      </c>
      <c r="R127" s="1" t="n">
        <f aca="false">0.5*SQRT(LN(L127)^2+LN(M127)^2+LN(N127)^2+LN(O127)^2+LN(P127)^2+LN(Q127)^2)</f>
        <v>0.108496705808822</v>
      </c>
      <c r="S127" s="5" t="b">
        <f aca="false">FALSE()</f>
        <v>0</v>
      </c>
      <c r="T127" s="1"/>
    </row>
    <row r="128" customFormat="false" ht="15" hidden="false" customHeight="false" outlineLevel="0" collapsed="false">
      <c r="A128" s="1" t="s">
        <v>66</v>
      </c>
      <c r="B128" s="1" t="n">
        <v>9.81482411290842</v>
      </c>
      <c r="C128" s="1" t="s">
        <v>67</v>
      </c>
      <c r="D128" s="1" t="s">
        <v>39</v>
      </c>
      <c r="E128" s="1"/>
      <c r="F128" s="1" t="s">
        <v>61</v>
      </c>
      <c r="G128" s="1" t="s">
        <v>68</v>
      </c>
      <c r="H128" s="1" t="s">
        <v>63</v>
      </c>
      <c r="I128" s="1" t="s">
        <v>185</v>
      </c>
      <c r="J128" s="1" t="n">
        <v>2</v>
      </c>
      <c r="K128" s="1" t="n">
        <f aca="false">LN(ABS(B128))</f>
        <v>2.28389390733438</v>
      </c>
      <c r="L128" s="1" t="n">
        <v>1.1</v>
      </c>
      <c r="M128" s="1" t="n">
        <v>1.05</v>
      </c>
      <c r="N128" s="1" t="n">
        <v>1</v>
      </c>
      <c r="O128" s="1" t="n">
        <v>1</v>
      </c>
      <c r="P128" s="1" t="n">
        <v>1.2</v>
      </c>
      <c r="Q128" s="1" t="n">
        <v>1.05</v>
      </c>
      <c r="R128" s="1" t="n">
        <f aca="false">0.5*SQRT(LN(L128)^2+LN(M128)^2+LN(N128)^2+LN(O128)^2+LN(P128)^2+LN(Q128)^2)</f>
        <v>0.108496705808822</v>
      </c>
      <c r="S128" s="5" t="b">
        <f aca="false">FALSE()</f>
        <v>0</v>
      </c>
      <c r="T128" s="1"/>
    </row>
    <row r="129" customFormat="false" ht="15" hidden="false" customHeight="false" outlineLevel="0" collapsed="false">
      <c r="A129" s="1" t="s">
        <v>113</v>
      </c>
      <c r="B129" s="1" t="n">
        <v>75</v>
      </c>
      <c r="C129" s="1" t="s">
        <v>67</v>
      </c>
      <c r="D129" s="1" t="s">
        <v>39</v>
      </c>
      <c r="E129" s="1"/>
      <c r="F129" s="1" t="s">
        <v>61</v>
      </c>
      <c r="G129" s="1" t="s">
        <v>114</v>
      </c>
      <c r="H129" s="1" t="s">
        <v>63</v>
      </c>
      <c r="I129" s="1" t="s">
        <v>186</v>
      </c>
      <c r="J129" s="1" t="n">
        <v>2</v>
      </c>
      <c r="K129" s="1" t="n">
        <f aca="false">LN(ABS(B129))</f>
        <v>4.31748811353631</v>
      </c>
      <c r="L129" s="1" t="n">
        <v>1.05</v>
      </c>
      <c r="M129" s="1" t="n">
        <v>1.05</v>
      </c>
      <c r="N129" s="1" t="n">
        <v>1</v>
      </c>
      <c r="O129" s="1" t="n">
        <v>1</v>
      </c>
      <c r="P129" s="1" t="n">
        <v>1.2</v>
      </c>
      <c r="Q129" s="1" t="n">
        <v>1.05</v>
      </c>
      <c r="R129" s="1" t="n">
        <f aca="false">0.5*SQRT(LN(L129)^2+LN(M129)^2+LN(N129)^2+LN(O129)^2+LN(P129)^2+LN(Q129)^2)</f>
        <v>0.100477099916861</v>
      </c>
      <c r="S129" s="5" t="b">
        <f aca="false">FALSE()</f>
        <v>0</v>
      </c>
      <c r="T129" s="1"/>
    </row>
    <row r="130" customFormat="false" ht="15" hidden="false" customHeight="false" outlineLevel="0" collapsed="false">
      <c r="A130" s="1" t="s">
        <v>59</v>
      </c>
      <c r="B130" s="1" t="n">
        <v>7.85</v>
      </c>
      <c r="C130" s="1" t="s">
        <v>32</v>
      </c>
      <c r="D130" s="1" t="s">
        <v>60</v>
      </c>
      <c r="E130" s="1"/>
      <c r="F130" s="1" t="s">
        <v>61</v>
      </c>
      <c r="G130" s="1" t="s">
        <v>62</v>
      </c>
      <c r="H130" s="1" t="s">
        <v>63</v>
      </c>
      <c r="I130" s="1"/>
      <c r="J130" s="1" t="n">
        <v>2</v>
      </c>
      <c r="K130" s="1" t="n">
        <f aca="false">LN(ABS(B130))</f>
        <v>2.06051353179432</v>
      </c>
      <c r="L130" s="1" t="n">
        <v>1.1</v>
      </c>
      <c r="M130" s="1" t="n">
        <v>1.05</v>
      </c>
      <c r="N130" s="1" t="n">
        <v>1</v>
      </c>
      <c r="O130" s="1" t="n">
        <v>1</v>
      </c>
      <c r="P130" s="1" t="n">
        <v>1.2</v>
      </c>
      <c r="Q130" s="1" t="n">
        <v>1.05</v>
      </c>
      <c r="R130" s="1" t="n">
        <f aca="false">0.5*SQRT(LN(L130)^2+LN(M130)^2+LN(N130)^2+LN(O130)^2+LN(P130)^2+LN(Q130)^2)</f>
        <v>0.108496705808822</v>
      </c>
      <c r="S130" s="5" t="b">
        <f aca="false">FALSE()</f>
        <v>0</v>
      </c>
      <c r="T130" s="1"/>
    </row>
    <row r="131" customFormat="false" ht="15" hidden="false" customHeight="false" outlineLevel="0" collapsed="false">
      <c r="A131" s="1" t="s">
        <v>187</v>
      </c>
      <c r="B131" s="1" t="n">
        <v>0.00331118834319867</v>
      </c>
      <c r="C131" s="1"/>
      <c r="D131" s="1" t="s">
        <v>39</v>
      </c>
      <c r="E131" s="1" t="s">
        <v>85</v>
      </c>
      <c r="F131" s="1" t="s">
        <v>86</v>
      </c>
      <c r="G131" s="1"/>
      <c r="H131" s="1" t="s">
        <v>87</v>
      </c>
      <c r="I131" s="1" t="s">
        <v>188</v>
      </c>
      <c r="J131" s="1" t="n">
        <v>2</v>
      </c>
      <c r="K131" s="1" t="n">
        <f aca="false">LN(ABS(B131))</f>
        <v>-5.71044813795191</v>
      </c>
      <c r="L131" s="1" t="n">
        <v>1.2</v>
      </c>
      <c r="M131" s="1" t="n">
        <v>1.1</v>
      </c>
      <c r="N131" s="1" t="n">
        <v>1.03</v>
      </c>
      <c r="O131" s="1" t="n">
        <v>1.02</v>
      </c>
      <c r="P131" s="1" t="n">
        <v>2</v>
      </c>
      <c r="Q131" s="1" t="n">
        <v>1.5</v>
      </c>
      <c r="R131" s="1" t="n">
        <f aca="false">0.5*SQRT(LN(L131)^2+LN(M131)^2+LN(N131)^2+LN(O131)^2+LN(P131)^2+LN(Q131)^2)</f>
        <v>0.414863235023079</v>
      </c>
      <c r="S131" s="5" t="b">
        <f aca="false">FALSE()</f>
        <v>0</v>
      </c>
      <c r="T131" s="1"/>
    </row>
    <row r="133" customFormat="false" ht="15" hidden="false" customHeight="false" outlineLevel="0" collapsed="false">
      <c r="A133" s="3" t="s">
        <v>25</v>
      </c>
      <c r="B133" s="3" t="s">
        <v>189</v>
      </c>
    </row>
    <row r="134" customFormat="false" ht="15" hidden="false" customHeight="false" outlineLevel="0" collapsed="false">
      <c r="A134" s="1" t="s">
        <v>27</v>
      </c>
      <c r="B134" s="1" t="s">
        <v>190</v>
      </c>
    </row>
    <row r="135" customFormat="false" ht="15" hidden="false" customHeight="false" outlineLevel="0" collapsed="false">
      <c r="A135" s="1" t="s">
        <v>29</v>
      </c>
      <c r="B135" s="1" t="s">
        <v>30</v>
      </c>
    </row>
    <row r="136" customFormat="false" ht="15" hidden="false" customHeight="false" outlineLevel="0" collapsed="false">
      <c r="A136" s="1" t="s">
        <v>31</v>
      </c>
      <c r="B136" s="1" t="s">
        <v>32</v>
      </c>
    </row>
    <row r="137" customFormat="false" ht="15" hidden="false" customHeight="false" outlineLevel="0" collapsed="false">
      <c r="A137" s="1" t="s">
        <v>33</v>
      </c>
      <c r="B137" s="1" t="s">
        <v>34</v>
      </c>
    </row>
    <row r="138" customFormat="false" ht="15" hidden="false" customHeight="false" outlineLevel="0" collapsed="false">
      <c r="A138" s="1" t="s">
        <v>35</v>
      </c>
      <c r="B138" s="1" t="n">
        <v>100.106029006658</v>
      </c>
    </row>
    <row r="139" customFormat="false" ht="15" hidden="false" customHeight="false" outlineLevel="0" collapsed="false">
      <c r="A139" s="1" t="s">
        <v>36</v>
      </c>
      <c r="B139" s="1" t="s">
        <v>191</v>
      </c>
    </row>
    <row r="140" customFormat="false" ht="15" hidden="false" customHeight="false" outlineLevel="0" collapsed="false">
      <c r="A140" s="1" t="s">
        <v>38</v>
      </c>
      <c r="B140" s="1" t="s">
        <v>39</v>
      </c>
    </row>
    <row r="141" customFormat="false" ht="15" hidden="false" customHeight="false" outlineLevel="0" collapsed="false">
      <c r="A141" s="3" t="s">
        <v>40</v>
      </c>
    </row>
    <row r="142" customFormat="false" ht="15" hidden="false" customHeight="false" outlineLevel="0" collapsed="false">
      <c r="A142" s="4" t="s">
        <v>41</v>
      </c>
      <c r="B142" s="4" t="s">
        <v>42</v>
      </c>
      <c r="C142" s="4" t="s">
        <v>31</v>
      </c>
      <c r="D142" s="4" t="s">
        <v>38</v>
      </c>
      <c r="E142" s="4" t="s">
        <v>43</v>
      </c>
      <c r="F142" s="4" t="s">
        <v>44</v>
      </c>
      <c r="G142" s="4" t="s">
        <v>36</v>
      </c>
      <c r="H142" s="4" t="s">
        <v>45</v>
      </c>
      <c r="I142" s="4" t="s">
        <v>27</v>
      </c>
      <c r="J142" s="4" t="s">
        <v>46</v>
      </c>
      <c r="K142" s="4" t="s">
        <v>47</v>
      </c>
      <c r="L142" s="4" t="s">
        <v>48</v>
      </c>
      <c r="M142" s="4" t="s">
        <v>49</v>
      </c>
      <c r="N142" s="4" t="s">
        <v>50</v>
      </c>
      <c r="O142" s="4" t="s">
        <v>51</v>
      </c>
      <c r="P142" s="4" t="s">
        <v>52</v>
      </c>
      <c r="Q142" s="4" t="s">
        <v>53</v>
      </c>
      <c r="R142" s="4" t="s">
        <v>54</v>
      </c>
      <c r="S142" s="4" t="s">
        <v>55</v>
      </c>
      <c r="T142" s="4" t="s">
        <v>56</v>
      </c>
    </row>
    <row r="143" customFormat="false" ht="15" hidden="false" customHeight="false" outlineLevel="0" collapsed="false">
      <c r="A143" s="1" t="s">
        <v>189</v>
      </c>
      <c r="B143" s="1" t="n">
        <v>100.106029006658</v>
      </c>
      <c r="C143" s="1" t="s">
        <v>32</v>
      </c>
      <c r="D143" s="1" t="s">
        <v>39</v>
      </c>
      <c r="E143" s="1"/>
      <c r="F143" s="1" t="s">
        <v>57</v>
      </c>
      <c r="G143" s="1" t="s">
        <v>191</v>
      </c>
      <c r="H143" s="1" t="s">
        <v>24</v>
      </c>
      <c r="I143" s="1" t="s">
        <v>58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customFormat="false" ht="15" hidden="false" customHeight="false" outlineLevel="0" collapsed="false">
      <c r="A144" s="1" t="s">
        <v>122</v>
      </c>
      <c r="B144" s="1" t="n">
        <v>10</v>
      </c>
      <c r="C144" s="1" t="s">
        <v>32</v>
      </c>
      <c r="D144" s="1" t="s">
        <v>39</v>
      </c>
      <c r="E144" s="1"/>
      <c r="F144" s="1" t="s">
        <v>61</v>
      </c>
      <c r="G144" s="1" t="s">
        <v>124</v>
      </c>
      <c r="H144" s="1" t="s">
        <v>24</v>
      </c>
      <c r="I144" s="1"/>
      <c r="J144" s="1" t="n">
        <v>2</v>
      </c>
      <c r="K144" s="1" t="n">
        <f aca="false">LN(ABS(B144))</f>
        <v>2.30258509299405</v>
      </c>
      <c r="L144" s="1" t="n">
        <v>1.1</v>
      </c>
      <c r="M144" s="1" t="n">
        <v>1.05</v>
      </c>
      <c r="N144" s="1" t="n">
        <v>1</v>
      </c>
      <c r="O144" s="1" t="n">
        <v>1</v>
      </c>
      <c r="P144" s="1" t="n">
        <v>1.2</v>
      </c>
      <c r="Q144" s="1" t="n">
        <v>1.05</v>
      </c>
      <c r="R144" s="1" t="n">
        <f aca="false">0.5*SQRT(LN(L144)^2+LN(M144)^2+LN(N144)^2+LN(O144)^2+LN(P144)^2+LN(Q144)^2)</f>
        <v>0.108496705808822</v>
      </c>
      <c r="S144" s="5" t="b">
        <f aca="false">FALSE()</f>
        <v>0</v>
      </c>
      <c r="T144" s="1"/>
    </row>
    <row r="145" customFormat="false" ht="15" hidden="false" customHeight="false" outlineLevel="0" collapsed="false">
      <c r="A145" s="1" t="s">
        <v>182</v>
      </c>
      <c r="B145" s="1" t="n">
        <v>90.1068402478025</v>
      </c>
      <c r="C145" s="1" t="s">
        <v>32</v>
      </c>
      <c r="D145" s="1" t="s">
        <v>39</v>
      </c>
      <c r="E145" s="1"/>
      <c r="F145" s="1" t="s">
        <v>61</v>
      </c>
      <c r="G145" s="1" t="s">
        <v>184</v>
      </c>
      <c r="H145" s="1" t="s">
        <v>24</v>
      </c>
      <c r="I145" s="1"/>
      <c r="J145" s="1" t="n">
        <v>2</v>
      </c>
      <c r="K145" s="1" t="n">
        <f aca="false">LN(ABS(B145))</f>
        <v>4.50099608013222</v>
      </c>
      <c r="L145" s="1" t="n">
        <v>1.1</v>
      </c>
      <c r="M145" s="1" t="n">
        <v>1.05</v>
      </c>
      <c r="N145" s="1" t="n">
        <v>1</v>
      </c>
      <c r="O145" s="1" t="n">
        <v>1</v>
      </c>
      <c r="P145" s="1" t="n">
        <v>1.2</v>
      </c>
      <c r="Q145" s="1" t="n">
        <v>1.05</v>
      </c>
      <c r="R145" s="1" t="n">
        <f aca="false">0.5*SQRT(LN(L145)^2+LN(M145)^2+LN(N145)^2+LN(O145)^2+LN(P145)^2+LN(Q145)^2)</f>
        <v>0.108496705808822</v>
      </c>
      <c r="S145" s="5" t="b">
        <f aca="false">FALSE()</f>
        <v>0</v>
      </c>
      <c r="T145" s="1"/>
    </row>
    <row r="146" customFormat="false" ht="15" hidden="false" customHeight="false" outlineLevel="0" collapsed="false">
      <c r="A146" s="1" t="s">
        <v>106</v>
      </c>
      <c r="B146" s="1" t="n">
        <v>0</v>
      </c>
      <c r="C146" s="1" t="s">
        <v>67</v>
      </c>
      <c r="D146" s="1" t="s">
        <v>39</v>
      </c>
      <c r="E146" s="1"/>
      <c r="F146" s="1" t="s">
        <v>61</v>
      </c>
      <c r="G146" s="1" t="s">
        <v>107</v>
      </c>
      <c r="H146" s="1" t="s">
        <v>63</v>
      </c>
      <c r="I146" s="1" t="s">
        <v>192</v>
      </c>
      <c r="J146" s="1" t="n">
        <v>0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customFormat="false" ht="15" hidden="false" customHeight="false" outlineLevel="0" collapsed="false">
      <c r="A147" s="1" t="s">
        <v>59</v>
      </c>
      <c r="B147" s="1" t="n">
        <v>15.1</v>
      </c>
      <c r="C147" s="1" t="s">
        <v>32</v>
      </c>
      <c r="D147" s="1" t="s">
        <v>60</v>
      </c>
      <c r="E147" s="1"/>
      <c r="F147" s="1" t="s">
        <v>61</v>
      </c>
      <c r="G147" s="1" t="s">
        <v>62</v>
      </c>
      <c r="H147" s="1" t="s">
        <v>63</v>
      </c>
      <c r="I147" s="1" t="s">
        <v>193</v>
      </c>
      <c r="J147" s="1" t="n">
        <v>2</v>
      </c>
      <c r="K147" s="1" t="n">
        <f aca="false">LN(ABS(B147))</f>
        <v>2.71469474382088</v>
      </c>
      <c r="L147" s="1" t="n">
        <v>1.1</v>
      </c>
      <c r="M147" s="1" t="n">
        <v>1.05</v>
      </c>
      <c r="N147" s="1" t="n">
        <v>1</v>
      </c>
      <c r="O147" s="1" t="n">
        <v>1</v>
      </c>
      <c r="P147" s="1" t="n">
        <v>1.2</v>
      </c>
      <c r="Q147" s="1" t="n">
        <v>1.05</v>
      </c>
      <c r="R147" s="1" t="n">
        <f aca="false">0.5*SQRT(LN(L147)^2+LN(M147)^2+LN(N147)^2+LN(O147)^2+LN(P147)^2+LN(Q147)^2)</f>
        <v>0.108496705808822</v>
      </c>
      <c r="S147" s="5" t="b">
        <f aca="false">FALSE()</f>
        <v>0</v>
      </c>
      <c r="T147" s="1"/>
    </row>
    <row r="148" customFormat="false" ht="15" hidden="false" customHeight="false" outlineLevel="0" collapsed="false">
      <c r="A148" s="1" t="s">
        <v>187</v>
      </c>
      <c r="B148" s="1" t="n">
        <v>0.000811241144083676</v>
      </c>
      <c r="C148" s="1"/>
      <c r="D148" s="1" t="s">
        <v>39</v>
      </c>
      <c r="E148" s="1" t="s">
        <v>85</v>
      </c>
      <c r="F148" s="1" t="s">
        <v>86</v>
      </c>
      <c r="G148" s="1"/>
      <c r="H148" s="1" t="s">
        <v>87</v>
      </c>
      <c r="I148" s="1" t="s">
        <v>194</v>
      </c>
      <c r="J148" s="1" t="n">
        <v>2</v>
      </c>
      <c r="K148" s="1" t="n">
        <f aca="false">LN(ABS(B148))</f>
        <v>-7.11694520638932</v>
      </c>
      <c r="L148" s="1" t="n">
        <v>1.2</v>
      </c>
      <c r="M148" s="1" t="n">
        <v>1.1</v>
      </c>
      <c r="N148" s="1" t="n">
        <v>1.03</v>
      </c>
      <c r="O148" s="1" t="n">
        <v>1.02</v>
      </c>
      <c r="P148" s="1" t="n">
        <v>2</v>
      </c>
      <c r="Q148" s="1" t="n">
        <v>1.5</v>
      </c>
      <c r="R148" s="1" t="n">
        <f aca="false">0.5*SQRT(LN(L148)^2+LN(M148)^2+LN(N148)^2+LN(O148)^2+LN(P148)^2+LN(Q148)^2)</f>
        <v>0.414863235023079</v>
      </c>
      <c r="S148" s="5" t="b">
        <f aca="false">FALSE()</f>
        <v>0</v>
      </c>
      <c r="T148" s="1"/>
    </row>
    <row r="150" customFormat="false" ht="15" hidden="false" customHeight="false" outlineLevel="0" collapsed="false">
      <c r="A150" s="3" t="s">
        <v>25</v>
      </c>
      <c r="B150" s="3" t="s">
        <v>195</v>
      </c>
    </row>
    <row r="151" customFormat="false" ht="15" hidden="false" customHeight="false" outlineLevel="0" collapsed="false">
      <c r="A151" s="1" t="s">
        <v>27</v>
      </c>
      <c r="B151" s="1" t="s">
        <v>196</v>
      </c>
    </row>
    <row r="152" customFormat="false" ht="15" hidden="false" customHeight="false" outlineLevel="0" collapsed="false">
      <c r="A152" s="1" t="s">
        <v>29</v>
      </c>
      <c r="B152" s="1" t="s">
        <v>30</v>
      </c>
    </row>
    <row r="153" customFormat="false" ht="15" hidden="false" customHeight="false" outlineLevel="0" collapsed="false">
      <c r="A153" s="1" t="s">
        <v>31</v>
      </c>
      <c r="B153" s="1" t="s">
        <v>32</v>
      </c>
    </row>
    <row r="154" customFormat="false" ht="15" hidden="false" customHeight="false" outlineLevel="0" collapsed="false">
      <c r="A154" s="1" t="s">
        <v>33</v>
      </c>
      <c r="B154" s="1" t="s">
        <v>34</v>
      </c>
    </row>
    <row r="155" customFormat="false" ht="15" hidden="false" customHeight="false" outlineLevel="0" collapsed="false">
      <c r="A155" s="1" t="s">
        <v>35</v>
      </c>
      <c r="B155" s="1" t="n">
        <v>89.2031212508242</v>
      </c>
    </row>
    <row r="156" customFormat="false" ht="15" hidden="false" customHeight="false" outlineLevel="0" collapsed="false">
      <c r="A156" s="1" t="s">
        <v>36</v>
      </c>
      <c r="B156" s="1" t="s">
        <v>197</v>
      </c>
    </row>
    <row r="157" customFormat="false" ht="15" hidden="false" customHeight="false" outlineLevel="0" collapsed="false">
      <c r="A157" s="1" t="s">
        <v>38</v>
      </c>
      <c r="B157" s="1" t="s">
        <v>39</v>
      </c>
    </row>
    <row r="158" customFormat="false" ht="15" hidden="false" customHeight="false" outlineLevel="0" collapsed="false">
      <c r="A158" s="3" t="s">
        <v>40</v>
      </c>
    </row>
    <row r="159" customFormat="false" ht="15" hidden="false" customHeight="false" outlineLevel="0" collapsed="false">
      <c r="A159" s="4" t="s">
        <v>41</v>
      </c>
      <c r="B159" s="4" t="s">
        <v>42</v>
      </c>
      <c r="C159" s="4" t="s">
        <v>31</v>
      </c>
      <c r="D159" s="4" t="s">
        <v>38</v>
      </c>
      <c r="E159" s="4" t="s">
        <v>43</v>
      </c>
      <c r="F159" s="4" t="s">
        <v>44</v>
      </c>
      <c r="G159" s="4" t="s">
        <v>36</v>
      </c>
      <c r="H159" s="4" t="s">
        <v>45</v>
      </c>
      <c r="I159" s="4" t="s">
        <v>27</v>
      </c>
      <c r="J159" s="4" t="s">
        <v>46</v>
      </c>
      <c r="K159" s="4" t="s">
        <v>47</v>
      </c>
      <c r="L159" s="4" t="s">
        <v>48</v>
      </c>
      <c r="M159" s="4" t="s">
        <v>49</v>
      </c>
      <c r="N159" s="4" t="s">
        <v>50</v>
      </c>
      <c r="O159" s="4" t="s">
        <v>51</v>
      </c>
      <c r="P159" s="4" t="s">
        <v>52</v>
      </c>
      <c r="Q159" s="4" t="s">
        <v>53</v>
      </c>
      <c r="R159" s="4" t="s">
        <v>54</v>
      </c>
      <c r="S159" s="4" t="s">
        <v>55</v>
      </c>
      <c r="T159" s="4" t="s">
        <v>56</v>
      </c>
    </row>
    <row r="160" customFormat="false" ht="15" hidden="false" customHeight="false" outlineLevel="0" collapsed="false">
      <c r="A160" s="1" t="s">
        <v>195</v>
      </c>
      <c r="B160" s="1" t="n">
        <v>89.2031212508242</v>
      </c>
      <c r="C160" s="1" t="s">
        <v>32</v>
      </c>
      <c r="D160" s="1" t="s">
        <v>39</v>
      </c>
      <c r="E160" s="1"/>
      <c r="F160" s="1" t="s">
        <v>57</v>
      </c>
      <c r="G160" s="1" t="s">
        <v>197</v>
      </c>
      <c r="H160" s="1" t="s">
        <v>24</v>
      </c>
      <c r="I160" s="1" t="s">
        <v>58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customFormat="false" ht="15" hidden="false" customHeight="false" outlineLevel="0" collapsed="false">
      <c r="A161" s="1" t="s">
        <v>189</v>
      </c>
      <c r="B161" s="1" t="n">
        <v>100.106029006658</v>
      </c>
      <c r="C161" s="1" t="s">
        <v>32</v>
      </c>
      <c r="D161" s="1" t="s">
        <v>39</v>
      </c>
      <c r="E161" s="1"/>
      <c r="F161" s="1" t="s">
        <v>61</v>
      </c>
      <c r="G161" s="1" t="s">
        <v>191</v>
      </c>
      <c r="H161" s="1" t="s">
        <v>24</v>
      </c>
      <c r="I161" s="1"/>
      <c r="J161" s="1" t="n">
        <v>2</v>
      </c>
      <c r="K161" s="1" t="n">
        <f aca="false">LN(ABS(B161))</f>
        <v>4.60622991434418</v>
      </c>
      <c r="L161" s="1" t="n">
        <v>1.1</v>
      </c>
      <c r="M161" s="1" t="n">
        <v>1.05</v>
      </c>
      <c r="N161" s="1" t="n">
        <v>1</v>
      </c>
      <c r="O161" s="1" t="n">
        <v>1</v>
      </c>
      <c r="P161" s="1" t="n">
        <v>1.2</v>
      </c>
      <c r="Q161" s="1" t="n">
        <v>1.05</v>
      </c>
      <c r="R161" s="1" t="n">
        <f aca="false">0.5*SQRT(LN(L161)^2+LN(M161)^2+LN(N161)^2+LN(O161)^2+LN(P161)^2+LN(Q161)^2)</f>
        <v>0.108496705808822</v>
      </c>
      <c r="S161" s="5" t="b">
        <f aca="false">FALSE()</f>
        <v>0</v>
      </c>
      <c r="T161" s="1"/>
    </row>
    <row r="162" customFormat="false" ht="15" hidden="false" customHeight="false" outlineLevel="0" collapsed="false">
      <c r="A162" s="1" t="s">
        <v>59</v>
      </c>
      <c r="B162" s="1" t="n">
        <v>0.0886363380030604</v>
      </c>
      <c r="C162" s="1" t="s">
        <v>32</v>
      </c>
      <c r="D162" s="1" t="s">
        <v>60</v>
      </c>
      <c r="E162" s="1"/>
      <c r="F162" s="1" t="s">
        <v>61</v>
      </c>
      <c r="G162" s="1" t="s">
        <v>62</v>
      </c>
      <c r="H162" s="1" t="s">
        <v>63</v>
      </c>
      <c r="I162" s="1"/>
      <c r="J162" s="1" t="n">
        <v>2</v>
      </c>
      <c r="K162" s="1" t="n">
        <f aca="false">LN(ABS(B162))</f>
        <v>-2.42321336997894</v>
      </c>
      <c r="L162" s="1" t="n">
        <v>1.1</v>
      </c>
      <c r="M162" s="1" t="n">
        <v>1.05</v>
      </c>
      <c r="N162" s="1" t="n">
        <v>1</v>
      </c>
      <c r="O162" s="1" t="n">
        <v>1</v>
      </c>
      <c r="P162" s="1" t="n">
        <v>1.2</v>
      </c>
      <c r="Q162" s="1" t="n">
        <v>1.05</v>
      </c>
      <c r="R162" s="1" t="n">
        <f aca="false">0.5*SQRT(LN(L162)^2+LN(M162)^2+LN(N162)^2+LN(O162)^2+LN(P162)^2+LN(Q162)^2)</f>
        <v>0.108496705808822</v>
      </c>
      <c r="S162" s="5" t="b">
        <f aca="false">FALSE()</f>
        <v>0</v>
      </c>
      <c r="T162" s="1"/>
    </row>
    <row r="163" customFormat="false" ht="15" hidden="false" customHeight="false" outlineLevel="0" collapsed="false">
      <c r="A163" s="1" t="s">
        <v>187</v>
      </c>
      <c r="B163" s="1" t="n">
        <v>0.000155454935217794</v>
      </c>
      <c r="C163" s="1"/>
      <c r="D163" s="1" t="s">
        <v>39</v>
      </c>
      <c r="E163" s="1" t="s">
        <v>85</v>
      </c>
      <c r="F163" s="1" t="s">
        <v>86</v>
      </c>
      <c r="G163" s="1"/>
      <c r="H163" s="1" t="s">
        <v>87</v>
      </c>
      <c r="I163" s="1" t="s">
        <v>198</v>
      </c>
      <c r="J163" s="1" t="n">
        <v>2</v>
      </c>
      <c r="K163" s="1" t="n">
        <f aca="false">LN(ABS(B163))</f>
        <v>-8.76915467402011</v>
      </c>
      <c r="L163" s="1" t="n">
        <v>1.1</v>
      </c>
      <c r="M163" s="1" t="n">
        <v>1.1</v>
      </c>
      <c r="N163" s="1" t="n">
        <v>1.03</v>
      </c>
      <c r="O163" s="1" t="n">
        <v>1.02</v>
      </c>
      <c r="P163" s="1" t="n">
        <v>1.5</v>
      </c>
      <c r="Q163" s="1" t="n">
        <v>1.5</v>
      </c>
      <c r="R163" s="1" t="n">
        <f aca="false">0.5*SQRT(LN(L163)^2+LN(M163)^2+LN(N163)^2+LN(O163)^2+LN(P163)^2+LN(Q163)^2)</f>
        <v>0.295058399038556</v>
      </c>
      <c r="S163" s="5" t="b">
        <f aca="false">FALSE()</f>
        <v>0</v>
      </c>
      <c r="T163" s="1"/>
    </row>
    <row r="164" customFormat="false" ht="15" hidden="false" customHeight="false" outlineLevel="0" collapsed="false">
      <c r="A164" s="1" t="s">
        <v>199</v>
      </c>
      <c r="B164" s="1" t="n">
        <v>-10.9029077558342</v>
      </c>
      <c r="C164" s="1" t="s">
        <v>67</v>
      </c>
      <c r="D164" s="1" t="s">
        <v>39</v>
      </c>
      <c r="E164" s="1"/>
      <c r="F164" s="1" t="s">
        <v>61</v>
      </c>
      <c r="G164" s="1" t="s">
        <v>200</v>
      </c>
      <c r="H164" s="1" t="s">
        <v>63</v>
      </c>
      <c r="I164" s="1" t="s">
        <v>201</v>
      </c>
      <c r="J164" s="1" t="n">
        <v>2</v>
      </c>
      <c r="K164" s="1" t="n">
        <f aca="false">LN(ABS(B164))</f>
        <v>2.38902952024951</v>
      </c>
      <c r="L164" s="1" t="n">
        <v>1.2</v>
      </c>
      <c r="M164" s="1" t="n">
        <v>1.1</v>
      </c>
      <c r="N164" s="1" t="n">
        <v>1.03</v>
      </c>
      <c r="O164" s="1" t="n">
        <v>1.02</v>
      </c>
      <c r="P164" s="1" t="n">
        <v>2</v>
      </c>
      <c r="Q164" s="1" t="n">
        <v>1.05</v>
      </c>
      <c r="R164" s="1" t="n">
        <f aca="false">0.5*SQRT(LN(L164)^2+LN(M164)^2+LN(N164)^2+LN(O164)^2+LN(P164)^2+LN(Q164)^2)</f>
        <v>0.3627755991387</v>
      </c>
      <c r="S164" s="5" t="b">
        <f aca="false">TRUE()</f>
        <v>1</v>
      </c>
      <c r="T164" s="1"/>
    </row>
    <row r="166" customFormat="false" ht="15" hidden="false" customHeight="false" outlineLevel="0" collapsed="false">
      <c r="A166" s="3" t="s">
        <v>25</v>
      </c>
      <c r="B166" s="3" t="s">
        <v>202</v>
      </c>
    </row>
    <row r="167" customFormat="false" ht="15" hidden="false" customHeight="false" outlineLevel="0" collapsed="false">
      <c r="A167" s="1" t="s">
        <v>27</v>
      </c>
      <c r="B167" s="1" t="s">
        <v>203</v>
      </c>
    </row>
    <row r="168" customFormat="false" ht="15" hidden="false" customHeight="false" outlineLevel="0" collapsed="false">
      <c r="A168" s="1" t="s">
        <v>29</v>
      </c>
      <c r="B168" s="1" t="s">
        <v>30</v>
      </c>
    </row>
    <row r="169" customFormat="false" ht="15" hidden="false" customHeight="false" outlineLevel="0" collapsed="false">
      <c r="A169" s="1" t="s">
        <v>31</v>
      </c>
      <c r="B169" s="1" t="s">
        <v>32</v>
      </c>
    </row>
    <row r="170" customFormat="false" ht="15" hidden="false" customHeight="false" outlineLevel="0" collapsed="false">
      <c r="A170" s="1" t="s">
        <v>33</v>
      </c>
      <c r="B170" s="1" t="s">
        <v>34</v>
      </c>
    </row>
    <row r="171" customFormat="false" ht="15" hidden="false" customHeight="false" outlineLevel="0" collapsed="false">
      <c r="A171" s="1" t="s">
        <v>35</v>
      </c>
      <c r="B171" s="1" t="n">
        <v>88.9846959944363</v>
      </c>
    </row>
    <row r="172" customFormat="false" ht="15" hidden="false" customHeight="false" outlineLevel="0" collapsed="false">
      <c r="A172" s="1" t="s">
        <v>36</v>
      </c>
      <c r="B172" s="1" t="s">
        <v>204</v>
      </c>
    </row>
    <row r="173" customFormat="false" ht="15" hidden="false" customHeight="false" outlineLevel="0" collapsed="false">
      <c r="A173" s="1" t="s">
        <v>38</v>
      </c>
      <c r="B173" s="1" t="s">
        <v>39</v>
      </c>
    </row>
    <row r="174" customFormat="false" ht="15" hidden="false" customHeight="false" outlineLevel="0" collapsed="false">
      <c r="A174" s="3" t="s">
        <v>40</v>
      </c>
    </row>
    <row r="175" customFormat="false" ht="15" hidden="false" customHeight="false" outlineLevel="0" collapsed="false">
      <c r="A175" s="4" t="s">
        <v>41</v>
      </c>
      <c r="B175" s="4" t="s">
        <v>42</v>
      </c>
      <c r="C175" s="4" t="s">
        <v>31</v>
      </c>
      <c r="D175" s="4" t="s">
        <v>38</v>
      </c>
      <c r="E175" s="4" t="s">
        <v>43</v>
      </c>
      <c r="F175" s="4" t="s">
        <v>44</v>
      </c>
      <c r="G175" s="4" t="s">
        <v>36</v>
      </c>
      <c r="H175" s="4" t="s">
        <v>45</v>
      </c>
      <c r="I175" s="4" t="s">
        <v>27</v>
      </c>
      <c r="J175" s="4" t="s">
        <v>46</v>
      </c>
      <c r="K175" s="4" t="s">
        <v>47</v>
      </c>
      <c r="L175" s="4" t="s">
        <v>48</v>
      </c>
      <c r="M175" s="4" t="s">
        <v>49</v>
      </c>
      <c r="N175" s="4" t="s">
        <v>50</v>
      </c>
      <c r="O175" s="4" t="s">
        <v>51</v>
      </c>
      <c r="P175" s="4" t="s">
        <v>52</v>
      </c>
      <c r="Q175" s="4" t="s">
        <v>53</v>
      </c>
      <c r="R175" s="4" t="s">
        <v>54</v>
      </c>
      <c r="S175" s="4" t="s">
        <v>55</v>
      </c>
      <c r="T175" s="4" t="s">
        <v>56</v>
      </c>
    </row>
    <row r="176" customFormat="false" ht="15" hidden="false" customHeight="false" outlineLevel="0" collapsed="false">
      <c r="A176" s="1" t="s">
        <v>202</v>
      </c>
      <c r="B176" s="1" t="n">
        <v>88.9846959944363</v>
      </c>
      <c r="C176" s="1" t="s">
        <v>32</v>
      </c>
      <c r="D176" s="1" t="s">
        <v>39</v>
      </c>
      <c r="E176" s="1"/>
      <c r="F176" s="1" t="s">
        <v>57</v>
      </c>
      <c r="G176" s="1" t="s">
        <v>204</v>
      </c>
      <c r="H176" s="1" t="s">
        <v>24</v>
      </c>
      <c r="I176" s="1" t="s">
        <v>58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customFormat="false" ht="15" hidden="false" customHeight="false" outlineLevel="0" collapsed="false">
      <c r="A177" s="1" t="s">
        <v>195</v>
      </c>
      <c r="B177" s="1" t="n">
        <v>89.2031212508242</v>
      </c>
      <c r="C177" s="1" t="s">
        <v>32</v>
      </c>
      <c r="D177" s="1" t="s">
        <v>39</v>
      </c>
      <c r="E177" s="1"/>
      <c r="F177" s="1" t="s">
        <v>61</v>
      </c>
      <c r="G177" s="1" t="s">
        <v>197</v>
      </c>
      <c r="H177" s="1" t="s">
        <v>24</v>
      </c>
      <c r="I177" s="1"/>
      <c r="J177" s="1" t="n">
        <v>2</v>
      </c>
      <c r="K177" s="1" t="n">
        <f aca="false">LN(ABS(B177))</f>
        <v>4.49091603057494</v>
      </c>
      <c r="L177" s="1" t="n">
        <v>1.1</v>
      </c>
      <c r="M177" s="1" t="n">
        <v>1.05</v>
      </c>
      <c r="N177" s="1" t="n">
        <v>1</v>
      </c>
      <c r="O177" s="1" t="n">
        <v>1</v>
      </c>
      <c r="P177" s="1" t="n">
        <v>1.2</v>
      </c>
      <c r="Q177" s="1" t="n">
        <v>1.05</v>
      </c>
      <c r="R177" s="1" t="n">
        <f aca="false">0.5*SQRT(LN(L177)^2+LN(M177)^2+LN(N177)^2+LN(O177)^2+LN(P177)^2+LN(Q177)^2)</f>
        <v>0.108496705808822</v>
      </c>
      <c r="S177" s="5" t="b">
        <f aca="false">FALSE()</f>
        <v>0</v>
      </c>
      <c r="T177" s="1"/>
    </row>
    <row r="178" customFormat="false" ht="15" hidden="false" customHeight="false" outlineLevel="0" collapsed="false">
      <c r="A178" s="1" t="s">
        <v>59</v>
      </c>
      <c r="B178" s="1" t="n">
        <v>0.007054</v>
      </c>
      <c r="C178" s="1" t="s">
        <v>32</v>
      </c>
      <c r="D178" s="1" t="s">
        <v>60</v>
      </c>
      <c r="E178" s="1"/>
      <c r="F178" s="1" t="s">
        <v>61</v>
      </c>
      <c r="G178" s="1" t="s">
        <v>62</v>
      </c>
      <c r="H178" s="1" t="s">
        <v>63</v>
      </c>
      <c r="I178" s="1"/>
      <c r="J178" s="1" t="n">
        <v>2</v>
      </c>
      <c r="K178" s="1" t="n">
        <f aca="false">LN(ABS(B178))</f>
        <v>-4.95416044716828</v>
      </c>
      <c r="L178" s="1" t="n">
        <v>1.1</v>
      </c>
      <c r="M178" s="1" t="n">
        <v>1.05</v>
      </c>
      <c r="N178" s="1" t="n">
        <v>1</v>
      </c>
      <c r="O178" s="1" t="n">
        <v>1</v>
      </c>
      <c r="P178" s="1" t="n">
        <v>1.2</v>
      </c>
      <c r="Q178" s="1" t="n">
        <v>1.05</v>
      </c>
      <c r="R178" s="1" t="n">
        <f aca="false">0.5*SQRT(LN(L178)^2+LN(M178)^2+LN(N178)^2+LN(O178)^2+LN(P178)^2+LN(Q178)^2)</f>
        <v>0.108496705808822</v>
      </c>
      <c r="S178" s="5" t="b">
        <f aca="false">FALSE()</f>
        <v>0</v>
      </c>
      <c r="T178" s="1"/>
    </row>
    <row r="179" customFormat="false" ht="15" hidden="false" customHeight="false" outlineLevel="0" collapsed="false">
      <c r="A179" s="1" t="s">
        <v>199</v>
      </c>
      <c r="B179" s="1" t="n">
        <v>-0.218425256387925</v>
      </c>
      <c r="C179" s="1" t="s">
        <v>67</v>
      </c>
      <c r="D179" s="1" t="s">
        <v>39</v>
      </c>
      <c r="E179" s="1"/>
      <c r="F179" s="1" t="s">
        <v>61</v>
      </c>
      <c r="G179" s="1" t="s">
        <v>200</v>
      </c>
      <c r="H179" s="1" t="s">
        <v>63</v>
      </c>
      <c r="I179" s="1" t="s">
        <v>205</v>
      </c>
      <c r="J179" s="1" t="n">
        <v>2</v>
      </c>
      <c r="K179" s="1" t="n">
        <f aca="false">LN(ABS(B179))</f>
        <v>-1.52131139899564</v>
      </c>
      <c r="L179" s="1" t="n">
        <v>1.2</v>
      </c>
      <c r="M179" s="1" t="n">
        <v>1.1</v>
      </c>
      <c r="N179" s="1" t="n">
        <v>1.03</v>
      </c>
      <c r="O179" s="1" t="n">
        <v>1.02</v>
      </c>
      <c r="P179" s="1" t="n">
        <v>2</v>
      </c>
      <c r="Q179" s="1" t="n">
        <v>1.05</v>
      </c>
      <c r="R179" s="1" t="n">
        <f aca="false">0.5*SQRT(LN(L179)^2+LN(M179)^2+LN(N179)^2+LN(O179)^2+LN(P179)^2+LN(Q179)^2)</f>
        <v>0.3627755991387</v>
      </c>
      <c r="S179" s="5" t="b">
        <f aca="false">TRUE()</f>
        <v>1</v>
      </c>
      <c r="T179" s="1"/>
    </row>
    <row r="181" customFormat="false" ht="15" hidden="false" customHeight="false" outlineLevel="0" collapsed="false">
      <c r="A181" s="3" t="s">
        <v>25</v>
      </c>
      <c r="B181" s="3" t="s">
        <v>206</v>
      </c>
    </row>
    <row r="182" customFormat="false" ht="15" hidden="false" customHeight="false" outlineLevel="0" collapsed="false">
      <c r="A182" s="1" t="s">
        <v>27</v>
      </c>
      <c r="B182" s="1" t="s">
        <v>207</v>
      </c>
    </row>
    <row r="183" customFormat="false" ht="15" hidden="false" customHeight="false" outlineLevel="0" collapsed="false">
      <c r="A183" s="1" t="s">
        <v>29</v>
      </c>
      <c r="B183" s="1" t="s">
        <v>30</v>
      </c>
    </row>
    <row r="184" customFormat="false" ht="15" hidden="false" customHeight="false" outlineLevel="0" collapsed="false">
      <c r="A184" s="1" t="s">
        <v>31</v>
      </c>
      <c r="B184" s="1" t="s">
        <v>32</v>
      </c>
    </row>
    <row r="185" customFormat="false" ht="15" hidden="false" customHeight="false" outlineLevel="0" collapsed="false">
      <c r="A185" s="1" t="s">
        <v>33</v>
      </c>
      <c r="B185" s="1" t="s">
        <v>34</v>
      </c>
    </row>
    <row r="186" customFormat="false" ht="15" hidden="false" customHeight="false" outlineLevel="0" collapsed="false">
      <c r="A186" s="1" t="s">
        <v>35</v>
      </c>
      <c r="B186" s="1" t="n">
        <v>103.8195331093</v>
      </c>
    </row>
    <row r="187" customFormat="false" ht="15" hidden="false" customHeight="false" outlineLevel="0" collapsed="false">
      <c r="A187" s="1" t="s">
        <v>36</v>
      </c>
      <c r="B187" s="1" t="s">
        <v>208</v>
      </c>
    </row>
    <row r="188" customFormat="false" ht="15" hidden="false" customHeight="false" outlineLevel="0" collapsed="false">
      <c r="A188" s="1" t="s">
        <v>38</v>
      </c>
      <c r="B188" s="1" t="s">
        <v>39</v>
      </c>
    </row>
    <row r="189" customFormat="false" ht="15" hidden="false" customHeight="false" outlineLevel="0" collapsed="false">
      <c r="A189" s="3" t="s">
        <v>40</v>
      </c>
    </row>
    <row r="190" customFormat="false" ht="15" hidden="false" customHeight="false" outlineLevel="0" collapsed="false">
      <c r="A190" s="4" t="s">
        <v>41</v>
      </c>
      <c r="B190" s="4" t="s">
        <v>42</v>
      </c>
      <c r="C190" s="4" t="s">
        <v>31</v>
      </c>
      <c r="D190" s="4" t="s">
        <v>38</v>
      </c>
      <c r="E190" s="4" t="s">
        <v>43</v>
      </c>
      <c r="F190" s="4" t="s">
        <v>44</v>
      </c>
      <c r="G190" s="4" t="s">
        <v>36</v>
      </c>
      <c r="H190" s="4" t="s">
        <v>45</v>
      </c>
      <c r="I190" s="4" t="s">
        <v>27</v>
      </c>
      <c r="J190" s="4" t="s">
        <v>46</v>
      </c>
      <c r="K190" s="4" t="s">
        <v>47</v>
      </c>
      <c r="L190" s="4" t="s">
        <v>48</v>
      </c>
      <c r="M190" s="4" t="s">
        <v>49</v>
      </c>
      <c r="N190" s="4" t="s">
        <v>50</v>
      </c>
      <c r="O190" s="4" t="s">
        <v>51</v>
      </c>
      <c r="P190" s="4" t="s">
        <v>52</v>
      </c>
      <c r="Q190" s="4" t="s">
        <v>53</v>
      </c>
      <c r="R190" s="4" t="s">
        <v>54</v>
      </c>
      <c r="S190" s="4" t="s">
        <v>55</v>
      </c>
      <c r="T190" s="4" t="s">
        <v>56</v>
      </c>
    </row>
    <row r="191" customFormat="false" ht="15" hidden="false" customHeight="false" outlineLevel="0" collapsed="false">
      <c r="A191" s="1" t="s">
        <v>206</v>
      </c>
      <c r="B191" s="1" t="n">
        <v>103.8195331093</v>
      </c>
      <c r="C191" s="1" t="s">
        <v>32</v>
      </c>
      <c r="D191" s="1" t="s">
        <v>39</v>
      </c>
      <c r="E191" s="1"/>
      <c r="F191" s="1" t="s">
        <v>57</v>
      </c>
      <c r="G191" s="1" t="s">
        <v>208</v>
      </c>
      <c r="H191" s="1" t="s">
        <v>24</v>
      </c>
      <c r="I191" s="1" t="s">
        <v>58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customFormat="false" ht="15" hidden="false" customHeight="false" outlineLevel="0" collapsed="false">
      <c r="A192" s="1" t="s">
        <v>202</v>
      </c>
      <c r="B192" s="1" t="n">
        <v>88.9846959944363</v>
      </c>
      <c r="C192" s="1" t="s">
        <v>32</v>
      </c>
      <c r="D192" s="1" t="s">
        <v>39</v>
      </c>
      <c r="E192" s="1"/>
      <c r="F192" s="1" t="s">
        <v>61</v>
      </c>
      <c r="G192" s="1" t="s">
        <v>204</v>
      </c>
      <c r="H192" s="1" t="s">
        <v>24</v>
      </c>
      <c r="I192" s="1"/>
      <c r="J192" s="1" t="n">
        <v>2</v>
      </c>
      <c r="K192" s="1" t="n">
        <f aca="false">LN(ABS(B192))</f>
        <v>4.48846439982747</v>
      </c>
      <c r="L192" s="1" t="n">
        <v>1.1</v>
      </c>
      <c r="M192" s="1" t="n">
        <v>1.05</v>
      </c>
      <c r="N192" s="1" t="n">
        <v>1</v>
      </c>
      <c r="O192" s="1" t="n">
        <v>1</v>
      </c>
      <c r="P192" s="1" t="n">
        <v>1.2</v>
      </c>
      <c r="Q192" s="1" t="n">
        <v>1.05</v>
      </c>
      <c r="R192" s="1" t="n">
        <f aca="false">0.5*SQRT(LN(L192)^2+LN(M192)^2+LN(N192)^2+LN(O192)^2+LN(P192)^2+LN(Q192)^2)</f>
        <v>0.108496705808822</v>
      </c>
      <c r="S192" s="5" t="b">
        <f aca="false">FALSE()</f>
        <v>0</v>
      </c>
      <c r="T192" s="1"/>
    </row>
    <row r="193" customFormat="false" ht="15" hidden="false" customHeight="false" outlineLevel="0" collapsed="false">
      <c r="A193" s="1" t="s">
        <v>209</v>
      </c>
      <c r="B193" s="1" t="n">
        <v>2.15091009749226</v>
      </c>
      <c r="C193" s="1" t="s">
        <v>77</v>
      </c>
      <c r="D193" s="1" t="s">
        <v>39</v>
      </c>
      <c r="E193" s="1"/>
      <c r="F193" s="1" t="s">
        <v>61</v>
      </c>
      <c r="G193" s="1" t="s">
        <v>210</v>
      </c>
      <c r="H193" s="1" t="s">
        <v>63</v>
      </c>
      <c r="I193" s="1" t="s">
        <v>211</v>
      </c>
      <c r="J193" s="1" t="n">
        <v>2</v>
      </c>
      <c r="K193" s="1" t="n">
        <f aca="false">LN(ABS(B193))</f>
        <v>0.765891053732102</v>
      </c>
      <c r="L193" s="1" t="n">
        <v>1.2</v>
      </c>
      <c r="M193" s="1" t="n">
        <v>1.1</v>
      </c>
      <c r="N193" s="1" t="n">
        <v>1.03</v>
      </c>
      <c r="O193" s="1" t="n">
        <v>1.02</v>
      </c>
      <c r="P193" s="1" t="n">
        <v>2</v>
      </c>
      <c r="Q193" s="1" t="n">
        <v>1.05</v>
      </c>
      <c r="R193" s="1" t="n">
        <f aca="false">0.5*SQRT(LN(L193)^2+LN(M193)^2+LN(N193)^2+LN(O193)^2+LN(P193)^2+LN(Q193)^2)</f>
        <v>0.3627755991387</v>
      </c>
      <c r="S193" s="5" t="b">
        <f aca="false">FALSE()</f>
        <v>0</v>
      </c>
      <c r="T193" s="1"/>
    </row>
    <row r="194" customFormat="false" ht="15" hidden="false" customHeight="false" outlineLevel="0" collapsed="false">
      <c r="A194" s="1" t="s">
        <v>144</v>
      </c>
      <c r="B194" s="1" t="n">
        <v>1.51174054408613</v>
      </c>
      <c r="C194" s="1" t="s">
        <v>77</v>
      </c>
      <c r="D194" s="1" t="s">
        <v>39</v>
      </c>
      <c r="E194" s="1"/>
      <c r="F194" s="1" t="s">
        <v>61</v>
      </c>
      <c r="G194" s="1" t="s">
        <v>145</v>
      </c>
      <c r="H194" s="1" t="s">
        <v>63</v>
      </c>
      <c r="I194" s="1"/>
      <c r="J194" s="1" t="n">
        <v>2</v>
      </c>
      <c r="K194" s="1" t="n">
        <f aca="false">LN(ABS(B194))</f>
        <v>0.413261665206114</v>
      </c>
      <c r="L194" s="1" t="n">
        <v>1.1</v>
      </c>
      <c r="M194" s="1" t="n">
        <v>1.05</v>
      </c>
      <c r="N194" s="1" t="n">
        <v>1</v>
      </c>
      <c r="O194" s="1" t="n">
        <v>1</v>
      </c>
      <c r="P194" s="1" t="n">
        <v>1.2</v>
      </c>
      <c r="Q194" s="1" t="n">
        <v>1.05</v>
      </c>
      <c r="R194" s="1" t="n">
        <f aca="false">0.5*SQRT(LN(L194)^2+LN(M194)^2+LN(N194)^2+LN(O194)^2+LN(P194)^2+LN(Q194)^2)</f>
        <v>0.108496705808822</v>
      </c>
      <c r="S194" s="5" t="b">
        <f aca="false">FALSE()</f>
        <v>0</v>
      </c>
      <c r="T194" s="1"/>
    </row>
    <row r="195" customFormat="false" ht="15" hidden="false" customHeight="false" outlineLevel="0" collapsed="false">
      <c r="A195" s="1" t="s">
        <v>113</v>
      </c>
      <c r="B195" s="1" t="n">
        <v>54.5464245138874</v>
      </c>
      <c r="C195" s="1" t="s">
        <v>67</v>
      </c>
      <c r="D195" s="1" t="s">
        <v>39</v>
      </c>
      <c r="E195" s="1"/>
      <c r="F195" s="1" t="s">
        <v>61</v>
      </c>
      <c r="G195" s="1" t="s">
        <v>114</v>
      </c>
      <c r="H195" s="1" t="s">
        <v>63</v>
      </c>
      <c r="I195" s="1" t="s">
        <v>212</v>
      </c>
      <c r="J195" s="1" t="n">
        <v>2</v>
      </c>
      <c r="K195" s="1" t="n">
        <f aca="false">LN(ABS(B195))</f>
        <v>3.99905216501427</v>
      </c>
      <c r="L195" s="1" t="n">
        <v>1.1</v>
      </c>
      <c r="M195" s="1" t="n">
        <v>1.05</v>
      </c>
      <c r="N195" s="1" t="n">
        <v>1</v>
      </c>
      <c r="O195" s="1" t="n">
        <v>1</v>
      </c>
      <c r="P195" s="1" t="n">
        <v>1.2</v>
      </c>
      <c r="Q195" s="1" t="n">
        <v>1.05</v>
      </c>
      <c r="R195" s="1" t="n">
        <f aca="false">0.5*SQRT(LN(L195)^2+LN(M195)^2+LN(N195)^2+LN(O195)^2+LN(P195)^2+LN(Q195)^2)</f>
        <v>0.108496705808822</v>
      </c>
      <c r="S195" s="5" t="b">
        <f aca="false">FALSE()</f>
        <v>0</v>
      </c>
      <c r="T195" s="1"/>
    </row>
    <row r="196" customFormat="false" ht="15" hidden="false" customHeight="false" outlineLevel="0" collapsed="false">
      <c r="A196" s="1" t="s">
        <v>213</v>
      </c>
      <c r="B196" s="1" t="n">
        <v>0.0565921564011473</v>
      </c>
      <c r="C196" s="1" t="s">
        <v>67</v>
      </c>
      <c r="D196" s="1" t="s">
        <v>39</v>
      </c>
      <c r="E196" s="1"/>
      <c r="F196" s="1" t="s">
        <v>61</v>
      </c>
      <c r="G196" s="1" t="s">
        <v>214</v>
      </c>
      <c r="H196" s="1" t="s">
        <v>63</v>
      </c>
      <c r="I196" s="1" t="s">
        <v>215</v>
      </c>
      <c r="J196" s="1" t="n">
        <v>2</v>
      </c>
      <c r="K196" s="1" t="n">
        <f aca="false">LN(ABS(B196))</f>
        <v>-2.87188488286105</v>
      </c>
      <c r="L196" s="1" t="n">
        <v>1.1</v>
      </c>
      <c r="M196" s="1" t="n">
        <v>1.05</v>
      </c>
      <c r="N196" s="1" t="n">
        <v>1</v>
      </c>
      <c r="O196" s="1" t="n">
        <v>1</v>
      </c>
      <c r="P196" s="1" t="n">
        <v>1.2</v>
      </c>
      <c r="Q196" s="1" t="n">
        <v>1.05</v>
      </c>
      <c r="R196" s="1" t="n">
        <f aca="false">0.5*SQRT(LN(L196)^2+LN(M196)^2+LN(N196)^2+LN(O196)^2+LN(P196)^2+LN(Q196)^2)</f>
        <v>0.108496705808822</v>
      </c>
      <c r="S196" s="5" t="b">
        <f aca="false">FALSE()</f>
        <v>0</v>
      </c>
      <c r="T196" s="1"/>
    </row>
    <row r="197" customFormat="false" ht="15" hidden="false" customHeight="false" outlineLevel="0" collapsed="false">
      <c r="A197" s="1" t="s">
        <v>59</v>
      </c>
      <c r="B197" s="1" t="n">
        <v>0.0115</v>
      </c>
      <c r="C197" s="1" t="s">
        <v>32</v>
      </c>
      <c r="D197" s="1" t="s">
        <v>60</v>
      </c>
      <c r="E197" s="1"/>
      <c r="F197" s="1" t="s">
        <v>61</v>
      </c>
      <c r="G197" s="1" t="s">
        <v>62</v>
      </c>
      <c r="H197" s="1" t="s">
        <v>63</v>
      </c>
      <c r="I197" s="1"/>
      <c r="J197" s="1" t="n">
        <v>2</v>
      </c>
      <c r="K197" s="1" t="n">
        <f aca="false">LN(ABS(B197))</f>
        <v>-4.46540824361293</v>
      </c>
      <c r="L197" s="1" t="n">
        <v>1.1</v>
      </c>
      <c r="M197" s="1" t="n">
        <v>1.05</v>
      </c>
      <c r="N197" s="1" t="n">
        <v>1</v>
      </c>
      <c r="O197" s="1" t="n">
        <v>1</v>
      </c>
      <c r="P197" s="1" t="n">
        <v>1.2</v>
      </c>
      <c r="Q197" s="1" t="n">
        <v>1.05</v>
      </c>
      <c r="R197" s="1" t="n">
        <f aca="false">0.5*SQRT(LN(L197)^2+LN(M197)^2+LN(N197)^2+LN(O197)^2+LN(P197)^2+LN(Q197)^2)</f>
        <v>0.108496705808822</v>
      </c>
      <c r="S197" s="5" t="b">
        <f aca="false">FALSE()</f>
        <v>0</v>
      </c>
      <c r="T197" s="1"/>
    </row>
    <row r="198" customFormat="false" ht="15" hidden="false" customHeight="false" outlineLevel="0" collapsed="false">
      <c r="A198" s="1" t="s">
        <v>166</v>
      </c>
      <c r="B198" s="1" t="n">
        <v>-43.374238040602</v>
      </c>
      <c r="C198" s="1" t="s">
        <v>32</v>
      </c>
      <c r="D198" s="1" t="s">
        <v>39</v>
      </c>
      <c r="E198" s="1"/>
      <c r="F198" s="1" t="s">
        <v>61</v>
      </c>
      <c r="G198" s="1" t="s">
        <v>167</v>
      </c>
      <c r="H198" s="1" t="s">
        <v>24</v>
      </c>
      <c r="I198" s="1" t="s">
        <v>216</v>
      </c>
      <c r="J198" s="1" t="n">
        <v>2</v>
      </c>
      <c r="K198" s="1" t="n">
        <f aca="false">LN(ABS(B198))</f>
        <v>3.76986567132545</v>
      </c>
      <c r="L198" s="1" t="n">
        <v>1.1</v>
      </c>
      <c r="M198" s="1" t="n">
        <v>1.05</v>
      </c>
      <c r="N198" s="1" t="n">
        <v>1</v>
      </c>
      <c r="O198" s="1" t="n">
        <v>1</v>
      </c>
      <c r="P198" s="1" t="n">
        <v>1.2</v>
      </c>
      <c r="Q198" s="1" t="n">
        <v>1.05</v>
      </c>
      <c r="R198" s="1" t="n">
        <f aca="false">0.5*SQRT(LN(L198)^2+LN(M198)^2+LN(N198)^2+LN(O198)^2+LN(P198)^2+LN(Q198)^2)</f>
        <v>0.108496705808822</v>
      </c>
      <c r="S198" s="5" t="b">
        <f aca="false">TRUE()</f>
        <v>1</v>
      </c>
      <c r="T198" s="1"/>
    </row>
    <row r="199" customFormat="false" ht="15" hidden="false" customHeight="false" outlineLevel="0" collapsed="false">
      <c r="A199" s="1" t="s">
        <v>217</v>
      </c>
      <c r="B199" s="1" t="n">
        <v>-0.0565921564011473</v>
      </c>
      <c r="C199" s="1" t="s">
        <v>67</v>
      </c>
      <c r="D199" s="1" t="s">
        <v>39</v>
      </c>
      <c r="E199" s="1"/>
      <c r="F199" s="1" t="s">
        <v>61</v>
      </c>
      <c r="G199" s="1" t="s">
        <v>218</v>
      </c>
      <c r="H199" s="1" t="s">
        <v>63</v>
      </c>
      <c r="I199" s="1" t="s">
        <v>219</v>
      </c>
      <c r="J199" s="1" t="n">
        <v>2</v>
      </c>
      <c r="K199" s="1" t="n">
        <f aca="false">LN(ABS(B199))</f>
        <v>-2.87188488286105</v>
      </c>
      <c r="L199" s="1" t="n">
        <v>1.1</v>
      </c>
      <c r="M199" s="1" t="n">
        <v>1.05</v>
      </c>
      <c r="N199" s="1" t="n">
        <v>1</v>
      </c>
      <c r="O199" s="1" t="n">
        <v>1</v>
      </c>
      <c r="P199" s="1" t="n">
        <v>1.2</v>
      </c>
      <c r="Q199" s="1" t="n">
        <v>1.05</v>
      </c>
      <c r="R199" s="1" t="n">
        <f aca="false">0.5*SQRT(LN(L199)^2+LN(M199)^2+LN(N199)^2+LN(O199)^2+LN(P199)^2+LN(Q199)^2)</f>
        <v>0.108496705808822</v>
      </c>
      <c r="S199" s="5" t="b">
        <f aca="false">TRUE()</f>
        <v>1</v>
      </c>
      <c r="T199" s="1"/>
    </row>
    <row r="201" customFormat="false" ht="15" hidden="false" customHeight="false" outlineLevel="0" collapsed="false">
      <c r="A201" s="3" t="s">
        <v>25</v>
      </c>
      <c r="B201" s="3" t="s">
        <v>220</v>
      </c>
    </row>
    <row r="202" customFormat="false" ht="15" hidden="false" customHeight="false" outlineLevel="0" collapsed="false">
      <c r="A202" s="1" t="s">
        <v>27</v>
      </c>
      <c r="B202" s="1" t="s">
        <v>221</v>
      </c>
    </row>
    <row r="203" customFormat="false" ht="15" hidden="false" customHeight="false" outlineLevel="0" collapsed="false">
      <c r="A203" s="1" t="s">
        <v>29</v>
      </c>
      <c r="B203" s="1" t="s">
        <v>30</v>
      </c>
    </row>
    <row r="204" customFormat="false" ht="15" hidden="false" customHeight="false" outlineLevel="0" collapsed="false">
      <c r="A204" s="1" t="s">
        <v>31</v>
      </c>
      <c r="B204" s="1" t="s">
        <v>32</v>
      </c>
    </row>
    <row r="205" customFormat="false" ht="15" hidden="false" customHeight="false" outlineLevel="0" collapsed="false">
      <c r="A205" s="1" t="s">
        <v>33</v>
      </c>
      <c r="B205" s="1" t="s">
        <v>34</v>
      </c>
    </row>
    <row r="206" customFormat="false" ht="15" hidden="false" customHeight="false" outlineLevel="0" collapsed="false">
      <c r="A206" s="1" t="s">
        <v>35</v>
      </c>
      <c r="B206" s="1" t="n">
        <v>0.264928751556128</v>
      </c>
    </row>
    <row r="207" customFormat="false" ht="15" hidden="false" customHeight="false" outlineLevel="0" collapsed="false">
      <c r="A207" s="1" t="s">
        <v>36</v>
      </c>
      <c r="B207" s="1" t="s">
        <v>222</v>
      </c>
    </row>
    <row r="208" customFormat="false" ht="15" hidden="false" customHeight="false" outlineLevel="0" collapsed="false">
      <c r="A208" s="1" t="s">
        <v>38</v>
      </c>
      <c r="B208" s="1" t="s">
        <v>39</v>
      </c>
    </row>
    <row r="209" customFormat="false" ht="15" hidden="false" customHeight="false" outlineLevel="0" collapsed="false">
      <c r="A209" s="3" t="s">
        <v>40</v>
      </c>
    </row>
    <row r="210" customFormat="false" ht="15" hidden="false" customHeight="false" outlineLevel="0" collapsed="false">
      <c r="A210" s="4" t="s">
        <v>41</v>
      </c>
      <c r="B210" s="4" t="s">
        <v>42</v>
      </c>
      <c r="C210" s="4" t="s">
        <v>31</v>
      </c>
      <c r="D210" s="4" t="s">
        <v>38</v>
      </c>
      <c r="E210" s="4" t="s">
        <v>43</v>
      </c>
      <c r="F210" s="4" t="s">
        <v>44</v>
      </c>
      <c r="G210" s="4" t="s">
        <v>36</v>
      </c>
      <c r="H210" s="4" t="s">
        <v>45</v>
      </c>
      <c r="I210" s="4" t="s">
        <v>27</v>
      </c>
      <c r="J210" s="4" t="s">
        <v>46</v>
      </c>
      <c r="K210" s="4" t="s">
        <v>47</v>
      </c>
      <c r="L210" s="4" t="s">
        <v>48</v>
      </c>
      <c r="M210" s="4" t="s">
        <v>49</v>
      </c>
      <c r="N210" s="4" t="s">
        <v>50</v>
      </c>
      <c r="O210" s="4" t="s">
        <v>51</v>
      </c>
      <c r="P210" s="4" t="s">
        <v>52</v>
      </c>
      <c r="Q210" s="4" t="s">
        <v>53</v>
      </c>
      <c r="R210" s="4" t="s">
        <v>54</v>
      </c>
      <c r="S210" s="4" t="s">
        <v>55</v>
      </c>
      <c r="T210" s="4" t="s">
        <v>56</v>
      </c>
    </row>
    <row r="211" customFormat="false" ht="15" hidden="false" customHeight="false" outlineLevel="0" collapsed="false">
      <c r="A211" s="1" t="s">
        <v>220</v>
      </c>
      <c r="B211" s="1" t="n">
        <v>0.264928751556128</v>
      </c>
      <c r="C211" s="1" t="s">
        <v>32</v>
      </c>
      <c r="D211" s="1" t="s">
        <v>39</v>
      </c>
      <c r="E211" s="1"/>
      <c r="F211" s="1" t="s">
        <v>57</v>
      </c>
      <c r="G211" s="1" t="s">
        <v>222</v>
      </c>
      <c r="H211" s="1" t="s">
        <v>24</v>
      </c>
      <c r="I211" s="1" t="s">
        <v>58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customFormat="false" ht="15" hidden="false" customHeight="false" outlineLevel="0" collapsed="false">
      <c r="A212" s="1" t="s">
        <v>206</v>
      </c>
      <c r="B212" s="1" t="n">
        <v>103.8195331093</v>
      </c>
      <c r="C212" s="1" t="s">
        <v>32</v>
      </c>
      <c r="D212" s="1" t="s">
        <v>39</v>
      </c>
      <c r="E212" s="1"/>
      <c r="F212" s="1" t="s">
        <v>61</v>
      </c>
      <c r="G212" s="1" t="s">
        <v>208</v>
      </c>
      <c r="H212" s="1" t="s">
        <v>24</v>
      </c>
      <c r="I212" s="1"/>
      <c r="J212" s="1" t="n">
        <v>2</v>
      </c>
      <c r="K212" s="1" t="n">
        <f aca="false">LN(ABS(B212))</f>
        <v>4.64265413327185</v>
      </c>
      <c r="L212" s="1" t="n">
        <v>1.1</v>
      </c>
      <c r="M212" s="1" t="n">
        <v>1.05</v>
      </c>
      <c r="N212" s="1" t="n">
        <v>1</v>
      </c>
      <c r="O212" s="1" t="n">
        <v>1</v>
      </c>
      <c r="P212" s="1" t="n">
        <v>1.2</v>
      </c>
      <c r="Q212" s="1" t="n">
        <v>1.05</v>
      </c>
      <c r="R212" s="1" t="n">
        <f aca="false">0.5*SQRT(LN(L212)^2+LN(M212)^2+LN(N212)^2+LN(O212)^2+LN(P212)^2+LN(Q212)^2)</f>
        <v>0.108496705808822</v>
      </c>
      <c r="S212" s="5" t="b">
        <f aca="false">FALSE()</f>
        <v>0</v>
      </c>
      <c r="T212" s="1"/>
    </row>
    <row r="213" customFormat="false" ht="15" hidden="false" customHeight="false" outlineLevel="0" collapsed="false">
      <c r="A213" s="1" t="s">
        <v>59</v>
      </c>
      <c r="B213" s="1" t="n">
        <v>5.85203216580865</v>
      </c>
      <c r="C213" s="1" t="s">
        <v>32</v>
      </c>
      <c r="D213" s="1" t="s">
        <v>60</v>
      </c>
      <c r="E213" s="1"/>
      <c r="F213" s="1" t="s">
        <v>61</v>
      </c>
      <c r="G213" s="1" t="s">
        <v>62</v>
      </c>
      <c r="H213" s="1" t="s">
        <v>63</v>
      </c>
      <c r="I213" s="1" t="s">
        <v>223</v>
      </c>
      <c r="J213" s="1" t="n">
        <v>2</v>
      </c>
      <c r="K213" s="1" t="n">
        <f aca="false">LN(ABS(B213))</f>
        <v>1.76678897969244</v>
      </c>
      <c r="L213" s="1" t="n">
        <v>1.1</v>
      </c>
      <c r="M213" s="1" t="n">
        <v>1.1</v>
      </c>
      <c r="N213" s="1" t="n">
        <v>1.03</v>
      </c>
      <c r="O213" s="1" t="n">
        <v>1.02</v>
      </c>
      <c r="P213" s="1" t="n">
        <v>1.5</v>
      </c>
      <c r="Q213" s="1" t="n">
        <v>1.05</v>
      </c>
      <c r="R213" s="1" t="n">
        <f aca="false">0.5*SQRT(LN(L213)^2+LN(M213)^2+LN(N213)^2+LN(O213)^2+LN(P213)^2+LN(Q213)^2)</f>
        <v>0.215763969188149</v>
      </c>
      <c r="S213" s="5" t="b">
        <f aca="false">FALSE()</f>
        <v>0</v>
      </c>
      <c r="T213" s="1"/>
    </row>
    <row r="214" customFormat="false" ht="15" hidden="false" customHeight="false" outlineLevel="0" collapsed="false">
      <c r="A214" s="1" t="s">
        <v>224</v>
      </c>
      <c r="B214" s="1" t="n">
        <v>0.133130025907602</v>
      </c>
      <c r="C214" s="1" t="s">
        <v>77</v>
      </c>
      <c r="D214" s="1" t="s">
        <v>39</v>
      </c>
      <c r="E214" s="1"/>
      <c r="F214" s="1" t="s">
        <v>61</v>
      </c>
      <c r="G214" s="1" t="s">
        <v>225</v>
      </c>
      <c r="H214" s="1" t="s">
        <v>63</v>
      </c>
      <c r="I214" s="1" t="s">
        <v>226</v>
      </c>
      <c r="J214" s="1" t="n">
        <v>2</v>
      </c>
      <c r="K214" s="1" t="n">
        <f aca="false">LN(ABS(B214))</f>
        <v>-2.01642898993455</v>
      </c>
      <c r="L214" s="1" t="n">
        <v>1.2</v>
      </c>
      <c r="M214" s="1" t="n">
        <v>1.1</v>
      </c>
      <c r="N214" s="1" t="n">
        <v>1.03</v>
      </c>
      <c r="O214" s="1" t="n">
        <v>1.02</v>
      </c>
      <c r="P214" s="1" t="n">
        <v>2</v>
      </c>
      <c r="Q214" s="1" t="n">
        <v>1.05</v>
      </c>
      <c r="R214" s="1" t="n">
        <f aca="false">0.5*SQRT(LN(L214)^2+LN(M214)^2+LN(N214)^2+LN(O214)^2+LN(P214)^2+LN(Q214)^2)</f>
        <v>0.3627755991387</v>
      </c>
      <c r="S214" s="5" t="b">
        <f aca="false">FALSE()</f>
        <v>0</v>
      </c>
      <c r="T214" s="1"/>
    </row>
    <row r="215" customFormat="false" ht="15" hidden="false" customHeight="false" outlineLevel="0" collapsed="false">
      <c r="A215" s="1" t="s">
        <v>227</v>
      </c>
      <c r="B215" s="1" t="n">
        <v>0.001667</v>
      </c>
      <c r="C215" s="1" t="s">
        <v>77</v>
      </c>
      <c r="D215" s="1" t="s">
        <v>39</v>
      </c>
      <c r="E215" s="1"/>
      <c r="F215" s="1" t="s">
        <v>61</v>
      </c>
      <c r="G215" s="1" t="s">
        <v>228</v>
      </c>
      <c r="H215" s="1" t="s">
        <v>63</v>
      </c>
      <c r="I215" s="1" t="s">
        <v>229</v>
      </c>
      <c r="J215" s="1" t="n">
        <v>2</v>
      </c>
      <c r="K215" s="1" t="n">
        <f aca="false">LN(ABS(B215))</f>
        <v>-6.39672967521348</v>
      </c>
      <c r="L215" s="1" t="n">
        <v>1.1</v>
      </c>
      <c r="M215" s="1" t="n">
        <v>1.05</v>
      </c>
      <c r="N215" s="1" t="n">
        <v>1</v>
      </c>
      <c r="O215" s="1" t="n">
        <v>1</v>
      </c>
      <c r="P215" s="1" t="n">
        <v>1.2</v>
      </c>
      <c r="Q215" s="1" t="n">
        <v>1.05</v>
      </c>
      <c r="R215" s="1" t="n">
        <f aca="false">0.5*SQRT(LN(L215)^2+LN(M215)^2+LN(N215)^2+LN(O215)^2+LN(P215)^2+LN(Q215)^2)</f>
        <v>0.108496705808822</v>
      </c>
      <c r="S215" s="5" t="b">
        <f aca="false">FALSE()</f>
        <v>0</v>
      </c>
      <c r="T215" s="1"/>
    </row>
    <row r="216" customFormat="false" ht="15" hidden="false" customHeight="false" outlineLevel="0" collapsed="false">
      <c r="A216" s="1" t="s">
        <v>230</v>
      </c>
      <c r="B216" s="1" t="n">
        <v>0.001333</v>
      </c>
      <c r="C216" s="1" t="s">
        <v>77</v>
      </c>
      <c r="D216" s="1" t="s">
        <v>39</v>
      </c>
      <c r="E216" s="1"/>
      <c r="F216" s="1" t="s">
        <v>61</v>
      </c>
      <c r="G216" s="1" t="s">
        <v>231</v>
      </c>
      <c r="H216" s="1" t="s">
        <v>63</v>
      </c>
      <c r="I216" s="1" t="s">
        <v>232</v>
      </c>
      <c r="J216" s="1" t="n">
        <v>2</v>
      </c>
      <c r="K216" s="1" t="n">
        <f aca="false">LN(ABS(B216))</f>
        <v>-6.62032323778557</v>
      </c>
      <c r="L216" s="1" t="n">
        <v>1.2</v>
      </c>
      <c r="M216" s="1" t="n">
        <v>1.1</v>
      </c>
      <c r="N216" s="1" t="n">
        <v>1.03</v>
      </c>
      <c r="O216" s="1" t="n">
        <v>1.02</v>
      </c>
      <c r="P216" s="1" t="n">
        <v>2</v>
      </c>
      <c r="Q216" s="1" t="n">
        <v>1.05</v>
      </c>
      <c r="R216" s="1" t="n">
        <f aca="false">0.5*SQRT(LN(L216)^2+LN(M216)^2+LN(N216)^2+LN(O216)^2+LN(P216)^2+LN(Q216)^2)</f>
        <v>0.3627755991387</v>
      </c>
      <c r="S216" s="5" t="b">
        <f aca="false">FALSE()</f>
        <v>0</v>
      </c>
      <c r="T216" s="1"/>
    </row>
    <row r="217" customFormat="false" ht="15" hidden="false" customHeight="false" outlineLevel="0" collapsed="false">
      <c r="A217" s="1" t="s">
        <v>70</v>
      </c>
      <c r="B217" s="1" t="n">
        <v>3</v>
      </c>
      <c r="C217" s="1" t="s">
        <v>67</v>
      </c>
      <c r="D217" s="1" t="s">
        <v>39</v>
      </c>
      <c r="E217" s="1"/>
      <c r="F217" s="1" t="s">
        <v>61</v>
      </c>
      <c r="G217" s="1" t="s">
        <v>71</v>
      </c>
      <c r="H217" s="1" t="s">
        <v>63</v>
      </c>
      <c r="I217" s="1" t="s">
        <v>233</v>
      </c>
      <c r="J217" s="1" t="n">
        <v>2</v>
      </c>
      <c r="K217" s="1" t="n">
        <f aca="false">LN(ABS(B217))</f>
        <v>1.09861228866811</v>
      </c>
      <c r="L217" s="1" t="n">
        <v>1.1</v>
      </c>
      <c r="M217" s="1" t="n">
        <v>1.05</v>
      </c>
      <c r="N217" s="1" t="n">
        <v>1</v>
      </c>
      <c r="O217" s="1" t="n">
        <v>1</v>
      </c>
      <c r="P217" s="1" t="n">
        <v>1.2</v>
      </c>
      <c r="Q217" s="1" t="n">
        <v>1.05</v>
      </c>
      <c r="R217" s="1" t="n">
        <f aca="false">0.5*SQRT(LN(L217)^2+LN(M217)^2+LN(N217)^2+LN(O217)^2+LN(P217)^2+LN(Q217)^2)</f>
        <v>0.108496705808822</v>
      </c>
      <c r="S217" s="5" t="b">
        <f aca="false">FALSE()</f>
        <v>0</v>
      </c>
      <c r="T217" s="1"/>
    </row>
    <row r="218" customFormat="false" ht="15" hidden="false" customHeight="false" outlineLevel="0" collapsed="false">
      <c r="A218" s="1" t="s">
        <v>234</v>
      </c>
      <c r="B218" s="1" t="n">
        <v>2.158</v>
      </c>
      <c r="C218" s="1" t="s">
        <v>67</v>
      </c>
      <c r="D218" s="1" t="s">
        <v>39</v>
      </c>
      <c r="E218" s="1"/>
      <c r="F218" s="1" t="s">
        <v>61</v>
      </c>
      <c r="G218" s="1" t="s">
        <v>235</v>
      </c>
      <c r="H218" s="1" t="s">
        <v>63</v>
      </c>
      <c r="I218" s="1" t="s">
        <v>236</v>
      </c>
      <c r="J218" s="1" t="n">
        <v>2</v>
      </c>
      <c r="K218" s="1" t="n">
        <f aca="false">LN(ABS(B218))</f>
        <v>0.769181866835943</v>
      </c>
      <c r="L218" s="1" t="n">
        <v>1.1</v>
      </c>
      <c r="M218" s="1" t="n">
        <v>1.1</v>
      </c>
      <c r="N218" s="1" t="n">
        <v>1.03</v>
      </c>
      <c r="O218" s="1" t="n">
        <v>1.02</v>
      </c>
      <c r="P218" s="1" t="n">
        <v>1.5</v>
      </c>
      <c r="Q218" s="1" t="n">
        <v>1.05</v>
      </c>
      <c r="R218" s="1" t="n">
        <f aca="false">0.5*SQRT(LN(L218)^2+LN(M218)^2+LN(N218)^2+LN(O218)^2+LN(P218)^2+LN(Q218)^2)</f>
        <v>0.215763969188149</v>
      </c>
      <c r="S218" s="5" t="b">
        <f aca="false">FALSE()</f>
        <v>0</v>
      </c>
      <c r="T218" s="1"/>
    </row>
    <row r="219" customFormat="false" ht="15" hidden="false" customHeight="false" outlineLevel="0" collapsed="false">
      <c r="A219" s="1" t="s">
        <v>166</v>
      </c>
      <c r="B219" s="1" t="n">
        <v>-106.553273057485</v>
      </c>
      <c r="C219" s="1" t="s">
        <v>32</v>
      </c>
      <c r="D219" s="1" t="s">
        <v>39</v>
      </c>
      <c r="E219" s="1"/>
      <c r="F219" s="1" t="s">
        <v>61</v>
      </c>
      <c r="G219" s="1" t="s">
        <v>167</v>
      </c>
      <c r="H219" s="1" t="s">
        <v>24</v>
      </c>
      <c r="I219" s="1" t="s">
        <v>237</v>
      </c>
      <c r="J219" s="1" t="n">
        <v>2</v>
      </c>
      <c r="K219" s="1" t="n">
        <f aca="false">LN(ABS(B219))</f>
        <v>4.66864507658512</v>
      </c>
      <c r="L219" s="1" t="n">
        <v>1.1</v>
      </c>
      <c r="M219" s="1" t="n">
        <v>1.05</v>
      </c>
      <c r="N219" s="1" t="n">
        <v>1</v>
      </c>
      <c r="O219" s="1" t="n">
        <v>1</v>
      </c>
      <c r="P219" s="1" t="n">
        <v>1.2</v>
      </c>
      <c r="Q219" s="1" t="n">
        <v>1.05</v>
      </c>
      <c r="R219" s="1" t="n">
        <f aca="false">0.5*SQRT(LN(L219)^2+LN(M219)^2+LN(N219)^2+LN(O219)^2+LN(P219)^2+LN(Q219)^2)</f>
        <v>0.108496705808822</v>
      </c>
      <c r="S219" s="5" t="b">
        <f aca="false">TRUE()</f>
        <v>1</v>
      </c>
      <c r="T219" s="1"/>
    </row>
    <row r="220" customFormat="false" ht="15" hidden="false" customHeight="false" outlineLevel="0" collapsed="false">
      <c r="A220" s="1" t="s">
        <v>199</v>
      </c>
      <c r="B220" s="1" t="n">
        <v>-0.134461326166678</v>
      </c>
      <c r="C220" s="1" t="s">
        <v>67</v>
      </c>
      <c r="D220" s="1" t="s">
        <v>39</v>
      </c>
      <c r="E220" s="1"/>
      <c r="F220" s="1" t="s">
        <v>61</v>
      </c>
      <c r="G220" s="1" t="s">
        <v>200</v>
      </c>
      <c r="H220" s="1" t="s">
        <v>63</v>
      </c>
      <c r="I220" s="1" t="s">
        <v>238</v>
      </c>
      <c r="J220" s="1" t="n">
        <v>2</v>
      </c>
      <c r="K220" s="1" t="n">
        <f aca="false">LN(ABS(B220))</f>
        <v>-2.00647865908138</v>
      </c>
      <c r="L220" s="1" t="n">
        <v>1.2</v>
      </c>
      <c r="M220" s="1" t="n">
        <v>1.1</v>
      </c>
      <c r="N220" s="1" t="n">
        <v>1.03</v>
      </c>
      <c r="O220" s="1" t="n">
        <v>1.02</v>
      </c>
      <c r="P220" s="1" t="n">
        <v>2</v>
      </c>
      <c r="Q220" s="1" t="n">
        <v>1.05</v>
      </c>
      <c r="R220" s="1" t="n">
        <f aca="false">0.5*SQRT(LN(L220)^2+LN(M220)^2+LN(N220)^2+LN(O220)^2+LN(P220)^2+LN(Q220)^2)</f>
        <v>0.3627755991387</v>
      </c>
      <c r="S220" s="5" t="b">
        <f aca="false">TRUE()</f>
        <v>1</v>
      </c>
      <c r="T220" s="1"/>
    </row>
    <row r="221" customFormat="false" ht="15" hidden="false" customHeight="false" outlineLevel="0" collapsed="false">
      <c r="A221" s="1" t="s">
        <v>217</v>
      </c>
      <c r="B221" s="1" t="n">
        <v>-0.003</v>
      </c>
      <c r="C221" s="1" t="s">
        <v>67</v>
      </c>
      <c r="D221" s="1" t="s">
        <v>39</v>
      </c>
      <c r="E221" s="1"/>
      <c r="F221" s="1" t="s">
        <v>61</v>
      </c>
      <c r="G221" s="1" t="s">
        <v>218</v>
      </c>
      <c r="H221" s="1" t="s">
        <v>63</v>
      </c>
      <c r="I221" s="1" t="s">
        <v>239</v>
      </c>
      <c r="J221" s="1" t="n">
        <v>2</v>
      </c>
      <c r="K221" s="1" t="n">
        <f aca="false">LN(ABS(B221))</f>
        <v>-5.80914299031403</v>
      </c>
      <c r="L221" s="1" t="n">
        <v>1.1</v>
      </c>
      <c r="M221" s="1" t="n">
        <v>1.05</v>
      </c>
      <c r="N221" s="1" t="n">
        <v>1</v>
      </c>
      <c r="O221" s="1" t="n">
        <v>1</v>
      </c>
      <c r="P221" s="1" t="n">
        <v>1.2</v>
      </c>
      <c r="Q221" s="1" t="n">
        <v>1.05</v>
      </c>
      <c r="R221" s="1" t="n">
        <f aca="false">0.5*SQRT(LN(L221)^2+LN(M221)^2+LN(N221)^2+LN(O221)^2+LN(P221)^2+LN(Q221)^2)</f>
        <v>0.108496705808822</v>
      </c>
      <c r="S221" s="5" t="b">
        <f aca="false">TRUE()</f>
        <v>1</v>
      </c>
      <c r="T221" s="1"/>
    </row>
    <row r="223" customFormat="false" ht="15" hidden="false" customHeight="false" outlineLevel="0" collapsed="false">
      <c r="A223" s="3" t="s">
        <v>25</v>
      </c>
      <c r="B223" s="3" t="s">
        <v>73</v>
      </c>
    </row>
    <row r="224" customFormat="false" ht="15" hidden="false" customHeight="false" outlineLevel="0" collapsed="false">
      <c r="A224" s="1" t="s">
        <v>27</v>
      </c>
      <c r="B224" s="1" t="s">
        <v>240</v>
      </c>
    </row>
    <row r="225" customFormat="false" ht="15" hidden="false" customHeight="false" outlineLevel="0" collapsed="false">
      <c r="A225" s="1" t="s">
        <v>29</v>
      </c>
      <c r="B225" s="1" t="s">
        <v>30</v>
      </c>
    </row>
    <row r="226" customFormat="false" ht="15" hidden="false" customHeight="false" outlineLevel="0" collapsed="false">
      <c r="A226" s="1" t="s">
        <v>31</v>
      </c>
      <c r="B226" s="1" t="s">
        <v>32</v>
      </c>
    </row>
    <row r="227" customFormat="false" ht="15" hidden="false" customHeight="false" outlineLevel="0" collapsed="false">
      <c r="A227" s="1" t="s">
        <v>33</v>
      </c>
      <c r="B227" s="1" t="s">
        <v>34</v>
      </c>
    </row>
    <row r="228" customFormat="false" ht="15" hidden="false" customHeight="false" outlineLevel="0" collapsed="false">
      <c r="A228" s="1" t="s">
        <v>35</v>
      </c>
      <c r="B228" s="1" t="n">
        <v>-1</v>
      </c>
    </row>
    <row r="229" customFormat="false" ht="15" hidden="false" customHeight="false" outlineLevel="0" collapsed="false">
      <c r="A229" s="1" t="s">
        <v>36</v>
      </c>
      <c r="B229" s="1" t="s">
        <v>74</v>
      </c>
    </row>
    <row r="230" customFormat="false" ht="15" hidden="false" customHeight="false" outlineLevel="0" collapsed="false">
      <c r="A230" s="1" t="s">
        <v>38</v>
      </c>
      <c r="B230" s="1" t="s">
        <v>39</v>
      </c>
    </row>
    <row r="231" customFormat="false" ht="15" hidden="false" customHeight="false" outlineLevel="0" collapsed="false">
      <c r="A231" s="3" t="s">
        <v>40</v>
      </c>
    </row>
    <row r="232" customFormat="false" ht="15" hidden="false" customHeight="false" outlineLevel="0" collapsed="false">
      <c r="A232" s="4" t="s">
        <v>41</v>
      </c>
      <c r="B232" s="4" t="s">
        <v>42</v>
      </c>
      <c r="C232" s="4" t="s">
        <v>31</v>
      </c>
      <c r="D232" s="4" t="s">
        <v>38</v>
      </c>
      <c r="E232" s="4" t="s">
        <v>43</v>
      </c>
      <c r="F232" s="4" t="s">
        <v>44</v>
      </c>
      <c r="G232" s="4" t="s">
        <v>36</v>
      </c>
      <c r="H232" s="4" t="s">
        <v>45</v>
      </c>
      <c r="I232" s="4" t="s">
        <v>27</v>
      </c>
      <c r="J232" s="4" t="s">
        <v>46</v>
      </c>
      <c r="K232" s="4" t="s">
        <v>47</v>
      </c>
      <c r="L232" s="4" t="s">
        <v>48</v>
      </c>
      <c r="M232" s="4" t="s">
        <v>49</v>
      </c>
      <c r="N232" s="4" t="s">
        <v>50</v>
      </c>
      <c r="O232" s="4" t="s">
        <v>51</v>
      </c>
      <c r="P232" s="4" t="s">
        <v>52</v>
      </c>
      <c r="Q232" s="4" t="s">
        <v>53</v>
      </c>
      <c r="R232" s="4" t="s">
        <v>54</v>
      </c>
      <c r="S232" s="4" t="s">
        <v>55</v>
      </c>
      <c r="T232" s="4" t="s">
        <v>56</v>
      </c>
    </row>
    <row r="233" customFormat="false" ht="15" hidden="false" customHeight="false" outlineLevel="0" collapsed="false">
      <c r="A233" s="1" t="s">
        <v>73</v>
      </c>
      <c r="B233" s="1" t="n">
        <v>-1</v>
      </c>
      <c r="C233" s="1" t="s">
        <v>32</v>
      </c>
      <c r="D233" s="1" t="s">
        <v>39</v>
      </c>
      <c r="E233" s="1"/>
      <c r="F233" s="1" t="s">
        <v>57</v>
      </c>
      <c r="G233" s="1" t="s">
        <v>74</v>
      </c>
      <c r="H233" s="1" t="s">
        <v>24</v>
      </c>
      <c r="I233" s="1" t="s">
        <v>58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customFormat="false" ht="15" hidden="false" customHeight="false" outlineLevel="0" collapsed="false">
      <c r="A234" s="1" t="s">
        <v>241</v>
      </c>
      <c r="B234" s="1" t="n">
        <v>0.0670579196643487</v>
      </c>
      <c r="C234" s="1" t="s">
        <v>67</v>
      </c>
      <c r="D234" s="1" t="s">
        <v>39</v>
      </c>
      <c r="E234" s="1"/>
      <c r="F234" s="1" t="s">
        <v>61</v>
      </c>
      <c r="G234" s="1" t="s">
        <v>242</v>
      </c>
      <c r="H234" s="1" t="s">
        <v>63</v>
      </c>
      <c r="I234" s="1" t="s">
        <v>243</v>
      </c>
      <c r="J234" s="1" t="n">
        <v>2</v>
      </c>
      <c r="K234" s="1" t="n">
        <f aca="false">LN(ABS(B234))</f>
        <v>-2.70219856043019</v>
      </c>
      <c r="L234" s="1" t="n">
        <v>1.2</v>
      </c>
      <c r="M234" s="1" t="n">
        <v>1.1</v>
      </c>
      <c r="N234" s="1" t="n">
        <v>1.03</v>
      </c>
      <c r="O234" s="1" t="n">
        <v>1.02</v>
      </c>
      <c r="P234" s="1" t="n">
        <v>2</v>
      </c>
      <c r="Q234" s="1" t="n">
        <v>1.05</v>
      </c>
      <c r="R234" s="1" t="n">
        <f aca="false">0.5*SQRT(LN(L234)^2+LN(M234)^2+LN(N234)^2+LN(O234)^2+LN(P234)^2+LN(Q234)^2)</f>
        <v>0.3627755991387</v>
      </c>
      <c r="S234" s="5" t="b">
        <f aca="false">FALSE()</f>
        <v>0</v>
      </c>
      <c r="T234" s="1"/>
    </row>
    <row r="235" customFormat="false" ht="15" hidden="false" customHeight="false" outlineLevel="0" collapsed="false">
      <c r="A235" s="1" t="s">
        <v>59</v>
      </c>
      <c r="B235" s="1" t="n">
        <v>0.001</v>
      </c>
      <c r="C235" s="1" t="s">
        <v>32</v>
      </c>
      <c r="D235" s="1" t="s">
        <v>60</v>
      </c>
      <c r="E235" s="1"/>
      <c r="F235" s="1" t="s">
        <v>61</v>
      </c>
      <c r="G235" s="1" t="s">
        <v>62</v>
      </c>
      <c r="H235" s="1" t="s">
        <v>63</v>
      </c>
      <c r="I235" s="1" t="s">
        <v>244</v>
      </c>
      <c r="J235" s="1" t="n">
        <v>2</v>
      </c>
      <c r="K235" s="1" t="n">
        <f aca="false">LN(ABS(B235))</f>
        <v>-6.90775527898214</v>
      </c>
      <c r="L235" s="1" t="n">
        <v>1.2</v>
      </c>
      <c r="M235" s="1" t="n">
        <v>1.1</v>
      </c>
      <c r="N235" s="1" t="n">
        <v>1.03</v>
      </c>
      <c r="O235" s="1" t="n">
        <v>1.02</v>
      </c>
      <c r="P235" s="1" t="n">
        <v>2</v>
      </c>
      <c r="Q235" s="1" t="n">
        <v>1.05</v>
      </c>
      <c r="R235" s="1" t="n">
        <f aca="false">0.5*SQRT(LN(L235)^2+LN(M235)^2+LN(N235)^2+LN(O235)^2+LN(P235)^2+LN(Q235)^2)</f>
        <v>0.3627755991387</v>
      </c>
      <c r="S235" s="5" t="b">
        <f aca="false">FALSE()</f>
        <v>0</v>
      </c>
      <c r="T235" s="1"/>
    </row>
    <row r="236" customFormat="false" ht="15" hidden="false" customHeight="false" outlineLevel="0" collapsed="false">
      <c r="A236" s="1" t="s">
        <v>245</v>
      </c>
      <c r="B236" s="1" t="n">
        <v>-0.294284663130565</v>
      </c>
      <c r="C236" s="1" t="s">
        <v>67</v>
      </c>
      <c r="D236" s="1" t="s">
        <v>39</v>
      </c>
      <c r="E236" s="1"/>
      <c r="F236" s="1" t="s">
        <v>61</v>
      </c>
      <c r="G236" s="1" t="s">
        <v>246</v>
      </c>
      <c r="H236" s="1" t="s">
        <v>63</v>
      </c>
      <c r="I236" s="1" t="s">
        <v>247</v>
      </c>
      <c r="J236" s="1" t="n">
        <v>2</v>
      </c>
      <c r="K236" s="1" t="n">
        <f aca="false">LN(ABS(B236))</f>
        <v>-1.22320773814663</v>
      </c>
      <c r="L236" s="1" t="n">
        <v>1.2</v>
      </c>
      <c r="M236" s="1" t="n">
        <v>1.1</v>
      </c>
      <c r="N236" s="1" t="n">
        <v>1.03</v>
      </c>
      <c r="O236" s="1" t="n">
        <v>1.02</v>
      </c>
      <c r="P236" s="1" t="n">
        <v>2</v>
      </c>
      <c r="Q236" s="1" t="n">
        <v>1.05</v>
      </c>
      <c r="R236" s="1" t="n">
        <f aca="false">0.5*SQRT(LN(L236)^2+LN(M236)^2+LN(N236)^2+LN(O236)^2+LN(P236)^2+LN(Q236)^2)</f>
        <v>0.3627755991387</v>
      </c>
      <c r="S236" s="5" t="b">
        <f aca="false">TRUE()</f>
        <v>1</v>
      </c>
      <c r="T236" s="1"/>
    </row>
    <row r="237" customFormat="false" ht="15" hidden="false" customHeight="false" outlineLevel="0" collapsed="false">
      <c r="A237" s="1" t="s">
        <v>199</v>
      </c>
      <c r="B237" s="1" t="n">
        <v>0</v>
      </c>
      <c r="C237" s="1" t="s">
        <v>67</v>
      </c>
      <c r="D237" s="1" t="s">
        <v>39</v>
      </c>
      <c r="E237" s="1"/>
      <c r="F237" s="1" t="s">
        <v>61</v>
      </c>
      <c r="G237" s="1" t="s">
        <v>200</v>
      </c>
      <c r="H237" s="1" t="s">
        <v>63</v>
      </c>
      <c r="I237" s="1" t="s">
        <v>248</v>
      </c>
      <c r="J237" s="1" t="n">
        <v>0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customFormat="false" ht="15" hidden="false" customHeight="false" outlineLevel="0" collapsed="false">
      <c r="A238" s="1" t="s">
        <v>249</v>
      </c>
      <c r="B238" s="1" t="n">
        <v>-0.000772773256533784</v>
      </c>
      <c r="C238" s="1" t="s">
        <v>67</v>
      </c>
      <c r="D238" s="1" t="s">
        <v>101</v>
      </c>
      <c r="E238" s="1"/>
      <c r="F238" s="1" t="s">
        <v>61</v>
      </c>
      <c r="G238" s="1" t="s">
        <v>250</v>
      </c>
      <c r="H238" s="1" t="s">
        <v>63</v>
      </c>
      <c r="I238" s="1" t="s">
        <v>251</v>
      </c>
      <c r="J238" s="1" t="n">
        <v>2</v>
      </c>
      <c r="K238" s="1" t="n">
        <f aca="false">LN(ABS(B238))</f>
        <v>-7.16552488159931</v>
      </c>
      <c r="L238" s="1" t="n">
        <v>1.2</v>
      </c>
      <c r="M238" s="1" t="n">
        <v>1.1</v>
      </c>
      <c r="N238" s="1" t="n">
        <v>1.03</v>
      </c>
      <c r="O238" s="1" t="n">
        <v>1.02</v>
      </c>
      <c r="P238" s="1" t="n">
        <v>2</v>
      </c>
      <c r="Q238" s="1" t="n">
        <v>1.05</v>
      </c>
      <c r="R238" s="1" t="n">
        <f aca="false">0.5*SQRT(LN(L238)^2+LN(M238)^2+LN(N238)^2+LN(O238)^2+LN(P238)^2+LN(Q238)^2)</f>
        <v>0.3627755991387</v>
      </c>
      <c r="S238" s="5" t="b">
        <f aca="false">TRUE()</f>
        <v>1</v>
      </c>
      <c r="T238" s="1"/>
    </row>
    <row r="240" customFormat="false" ht="15" hidden="false" customHeight="false" outlineLevel="0" collapsed="false">
      <c r="A240" s="3" t="s">
        <v>25</v>
      </c>
      <c r="B240" s="3" t="s">
        <v>166</v>
      </c>
    </row>
    <row r="241" customFormat="false" ht="15" hidden="false" customHeight="false" outlineLevel="0" collapsed="false">
      <c r="A241" s="1" t="s">
        <v>27</v>
      </c>
      <c r="B241" s="1" t="s">
        <v>252</v>
      </c>
    </row>
    <row r="242" customFormat="false" ht="15" hidden="false" customHeight="false" outlineLevel="0" collapsed="false">
      <c r="A242" s="1" t="s">
        <v>29</v>
      </c>
      <c r="B242" s="1" t="s">
        <v>30</v>
      </c>
    </row>
    <row r="243" customFormat="false" ht="15" hidden="false" customHeight="false" outlineLevel="0" collapsed="false">
      <c r="A243" s="1" t="s">
        <v>31</v>
      </c>
      <c r="B243" s="1" t="s">
        <v>32</v>
      </c>
    </row>
    <row r="244" customFormat="false" ht="15" hidden="false" customHeight="false" outlineLevel="0" collapsed="false">
      <c r="A244" s="1" t="s">
        <v>33</v>
      </c>
      <c r="B244" s="1" t="s">
        <v>34</v>
      </c>
    </row>
    <row r="245" customFormat="false" ht="15" hidden="false" customHeight="false" outlineLevel="0" collapsed="false">
      <c r="A245" s="1" t="s">
        <v>35</v>
      </c>
      <c r="B245" s="1" t="n">
        <v>-1</v>
      </c>
    </row>
    <row r="246" customFormat="false" ht="15" hidden="false" customHeight="false" outlineLevel="0" collapsed="false">
      <c r="A246" s="1" t="s">
        <v>36</v>
      </c>
      <c r="B246" s="1" t="s">
        <v>167</v>
      </c>
    </row>
    <row r="247" customFormat="false" ht="15" hidden="false" customHeight="false" outlineLevel="0" collapsed="false">
      <c r="A247" s="1" t="s">
        <v>38</v>
      </c>
      <c r="B247" s="1" t="s">
        <v>39</v>
      </c>
    </row>
    <row r="248" customFormat="false" ht="15" hidden="false" customHeight="false" outlineLevel="0" collapsed="false">
      <c r="A248" s="3" t="s">
        <v>40</v>
      </c>
    </row>
    <row r="249" customFormat="false" ht="15" hidden="false" customHeight="false" outlineLevel="0" collapsed="false">
      <c r="A249" s="4" t="s">
        <v>41</v>
      </c>
      <c r="B249" s="4" t="s">
        <v>42</v>
      </c>
      <c r="C249" s="4" t="s">
        <v>31</v>
      </c>
      <c r="D249" s="4" t="s">
        <v>38</v>
      </c>
      <c r="E249" s="4" t="s">
        <v>43</v>
      </c>
      <c r="F249" s="4" t="s">
        <v>44</v>
      </c>
      <c r="G249" s="4" t="s">
        <v>36</v>
      </c>
      <c r="H249" s="4" t="s">
        <v>45</v>
      </c>
      <c r="I249" s="4" t="s">
        <v>27</v>
      </c>
      <c r="J249" s="4" t="s">
        <v>46</v>
      </c>
      <c r="K249" s="4" t="s">
        <v>47</v>
      </c>
      <c r="L249" s="4" t="s">
        <v>48</v>
      </c>
      <c r="M249" s="4" t="s">
        <v>49</v>
      </c>
      <c r="N249" s="4" t="s">
        <v>50</v>
      </c>
      <c r="O249" s="4" t="s">
        <v>51</v>
      </c>
      <c r="P249" s="4" t="s">
        <v>52</v>
      </c>
      <c r="Q249" s="4" t="s">
        <v>53</v>
      </c>
      <c r="R249" s="4" t="s">
        <v>54</v>
      </c>
      <c r="S249" s="4" t="s">
        <v>55</v>
      </c>
      <c r="T249" s="4" t="s">
        <v>56</v>
      </c>
    </row>
    <row r="250" customFormat="false" ht="15" hidden="false" customHeight="false" outlineLevel="0" collapsed="false">
      <c r="A250" s="1" t="s">
        <v>166</v>
      </c>
      <c r="B250" s="1" t="n">
        <v>-1</v>
      </c>
      <c r="C250" s="1" t="s">
        <v>32</v>
      </c>
      <c r="D250" s="1" t="s">
        <v>39</v>
      </c>
      <c r="E250" s="1"/>
      <c r="F250" s="1" t="s">
        <v>57</v>
      </c>
      <c r="G250" s="1" t="s">
        <v>167</v>
      </c>
      <c r="H250" s="1" t="s">
        <v>24</v>
      </c>
      <c r="I250" s="1" t="s">
        <v>58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customFormat="false" ht="15" hidden="false" customHeight="false" outlineLevel="0" collapsed="false">
      <c r="A251" s="1" t="s">
        <v>59</v>
      </c>
      <c r="B251" s="1" t="n">
        <v>0.0015</v>
      </c>
      <c r="C251" s="1" t="s">
        <v>32</v>
      </c>
      <c r="D251" s="1" t="s">
        <v>60</v>
      </c>
      <c r="E251" s="1"/>
      <c r="F251" s="1" t="s">
        <v>61</v>
      </c>
      <c r="G251" s="1" t="s">
        <v>62</v>
      </c>
      <c r="H251" s="1" t="s">
        <v>63</v>
      </c>
      <c r="I251" s="1" t="s">
        <v>253</v>
      </c>
      <c r="J251" s="1" t="n">
        <v>2</v>
      </c>
      <c r="K251" s="1" t="n">
        <f aca="false">LN(ABS(B251))</f>
        <v>-6.50229017087397</v>
      </c>
      <c r="L251" s="1" t="n">
        <v>1.1</v>
      </c>
      <c r="M251" s="1" t="n">
        <v>1.1</v>
      </c>
      <c r="N251" s="1" t="n">
        <v>1.03</v>
      </c>
      <c r="O251" s="1" t="n">
        <v>1.02</v>
      </c>
      <c r="P251" s="1" t="n">
        <v>1.5</v>
      </c>
      <c r="Q251" s="1" t="n">
        <v>1.05</v>
      </c>
      <c r="R251" s="1" t="n">
        <f aca="false">0.5*SQRT(LN(L251)^2+LN(M251)^2+LN(N251)^2+LN(O251)^2+LN(P251)^2+LN(Q251)^2)</f>
        <v>0.215763969188149</v>
      </c>
      <c r="S251" s="5" t="b">
        <f aca="false">FALSE()</f>
        <v>0</v>
      </c>
      <c r="T251" s="1"/>
    </row>
    <row r="252" customFormat="false" ht="15" hidden="false" customHeight="false" outlineLevel="0" collapsed="false">
      <c r="A252" s="1" t="s">
        <v>254</v>
      </c>
      <c r="B252" s="1" t="n">
        <v>2.68281562598715E-005</v>
      </c>
      <c r="C252" s="1" t="s">
        <v>77</v>
      </c>
      <c r="D252" s="1" t="s">
        <v>39</v>
      </c>
      <c r="E252" s="1"/>
      <c r="F252" s="1" t="s">
        <v>61</v>
      </c>
      <c r="G252" s="1" t="s">
        <v>255</v>
      </c>
      <c r="H252" s="1" t="s">
        <v>63</v>
      </c>
      <c r="I252" s="1" t="s">
        <v>256</v>
      </c>
      <c r="J252" s="1" t="n">
        <v>2</v>
      </c>
      <c r="K252" s="1" t="n">
        <f aca="false">LN(ABS(B252))</f>
        <v>-10.5260586152368</v>
      </c>
      <c r="L252" s="1" t="n">
        <v>1.1</v>
      </c>
      <c r="M252" s="1" t="n">
        <v>1.1</v>
      </c>
      <c r="N252" s="1" t="n">
        <v>1.03</v>
      </c>
      <c r="O252" s="1" t="n">
        <v>1.02</v>
      </c>
      <c r="P252" s="1" t="n">
        <v>1.5</v>
      </c>
      <c r="Q252" s="1" t="n">
        <v>1.05</v>
      </c>
      <c r="R252" s="1" t="n">
        <f aca="false">0.5*SQRT(LN(L252)^2+LN(M252)^2+LN(N252)^2+LN(O252)^2+LN(P252)^2+LN(Q252)^2)</f>
        <v>0.215763969188149</v>
      </c>
      <c r="S252" s="5" t="b">
        <f aca="false">FALSE()</f>
        <v>0</v>
      </c>
      <c r="T252" s="1"/>
    </row>
    <row r="253" customFormat="false" ht="15" hidden="false" customHeight="false" outlineLevel="0" collapsed="false">
      <c r="A253" s="1" t="s">
        <v>257</v>
      </c>
      <c r="B253" s="1" t="n">
        <v>8.32714118940211E-006</v>
      </c>
      <c r="C253" s="1"/>
      <c r="D253" s="1" t="s">
        <v>39</v>
      </c>
      <c r="E253" s="1" t="s">
        <v>258</v>
      </c>
      <c r="F253" s="1" t="s">
        <v>86</v>
      </c>
      <c r="G253" s="1"/>
      <c r="H253" s="1" t="s">
        <v>87</v>
      </c>
      <c r="I253" s="1" t="s">
        <v>259</v>
      </c>
      <c r="J253" s="1" t="n">
        <v>2</v>
      </c>
      <c r="K253" s="1" t="n">
        <f aca="false">LN(ABS(B253))</f>
        <v>-11.6959903552398</v>
      </c>
      <c r="L253" s="1" t="n">
        <v>1.1</v>
      </c>
      <c r="M253" s="1" t="n">
        <v>1.1</v>
      </c>
      <c r="N253" s="1" t="n">
        <v>1.03</v>
      </c>
      <c r="O253" s="1" t="n">
        <v>1.02</v>
      </c>
      <c r="P253" s="1" t="n">
        <v>1.5</v>
      </c>
      <c r="Q253" s="1" t="n">
        <v>1.5</v>
      </c>
      <c r="R253" s="1" t="n">
        <f aca="false">0.5*SQRT(LN(L253)^2+LN(M253)^2+LN(N253)^2+LN(O253)^2+LN(P253)^2+LN(Q253)^2)</f>
        <v>0.295058399038556</v>
      </c>
      <c r="S253" s="5" t="b">
        <f aca="false">FALSE()</f>
        <v>0</v>
      </c>
      <c r="T253" s="1"/>
    </row>
    <row r="254" customFormat="false" ht="15" hidden="false" customHeight="false" outlineLevel="0" collapsed="false">
      <c r="A254" s="1" t="s">
        <v>260</v>
      </c>
      <c r="B254" s="1" t="n">
        <v>1.44042526991317E-006</v>
      </c>
      <c r="C254" s="1"/>
      <c r="D254" s="1" t="s">
        <v>39</v>
      </c>
      <c r="E254" s="1" t="s">
        <v>258</v>
      </c>
      <c r="F254" s="1" t="s">
        <v>86</v>
      </c>
      <c r="G254" s="1"/>
      <c r="H254" s="1" t="s">
        <v>87</v>
      </c>
      <c r="I254" s="1"/>
      <c r="J254" s="1" t="n">
        <v>2</v>
      </c>
      <c r="K254" s="1" t="n">
        <f aca="false">LN(ABS(B254))</f>
        <v>-13.450572161648</v>
      </c>
      <c r="L254" s="1" t="n">
        <v>1.2</v>
      </c>
      <c r="M254" s="1" t="n">
        <v>1.1</v>
      </c>
      <c r="N254" s="1" t="n">
        <v>1.03</v>
      </c>
      <c r="O254" s="1" t="n">
        <v>1.02</v>
      </c>
      <c r="P254" s="1" t="n">
        <v>2</v>
      </c>
      <c r="Q254" s="1" t="n">
        <v>3</v>
      </c>
      <c r="R254" s="1" t="n">
        <f aca="false">0.5*SQRT(LN(L254)^2+LN(M254)^2+LN(N254)^2+LN(O254)^2+LN(P254)^2+LN(Q254)^2)</f>
        <v>0.657836039985397</v>
      </c>
      <c r="S254" s="5" t="b">
        <f aca="false">FALSE()</f>
        <v>0</v>
      </c>
      <c r="T254" s="1"/>
    </row>
    <row r="255" customFormat="false" ht="15" hidden="false" customHeight="false" outlineLevel="0" collapsed="false">
      <c r="A255" s="1" t="s">
        <v>261</v>
      </c>
      <c r="B255" s="1" t="n">
        <v>1.1951166043834E-006</v>
      </c>
      <c r="C255" s="1"/>
      <c r="D255" s="1" t="s">
        <v>39</v>
      </c>
      <c r="E255" s="1" t="s">
        <v>258</v>
      </c>
      <c r="F255" s="1" t="s">
        <v>86</v>
      </c>
      <c r="G255" s="1"/>
      <c r="H255" s="1" t="s">
        <v>87</v>
      </c>
      <c r="I255" s="1"/>
      <c r="J255" s="1" t="n">
        <v>2</v>
      </c>
      <c r="K255" s="1" t="n">
        <f aca="false">LN(ABS(B255))</f>
        <v>-13.6372668004512</v>
      </c>
      <c r="L255" s="1" t="n">
        <v>1.2</v>
      </c>
      <c r="M255" s="1" t="n">
        <v>1.1</v>
      </c>
      <c r="N255" s="1" t="n">
        <v>1.03</v>
      </c>
      <c r="O255" s="1" t="n">
        <v>1.02</v>
      </c>
      <c r="P255" s="1" t="n">
        <v>2</v>
      </c>
      <c r="Q255" s="1" t="n">
        <v>3</v>
      </c>
      <c r="R255" s="1" t="n">
        <f aca="false">0.5*SQRT(LN(L255)^2+LN(M255)^2+LN(N255)^2+LN(O255)^2+LN(P255)^2+LN(Q255)^2)</f>
        <v>0.657836039985397</v>
      </c>
      <c r="S255" s="5" t="b">
        <f aca="false">FALSE()</f>
        <v>0</v>
      </c>
      <c r="T255" s="1"/>
    </row>
    <row r="256" customFormat="false" ht="15" hidden="false" customHeight="false" outlineLevel="0" collapsed="false">
      <c r="A256" s="1" t="s">
        <v>262</v>
      </c>
      <c r="B256" s="1" t="n">
        <v>4.33927399613189E-006</v>
      </c>
      <c r="C256" s="1"/>
      <c r="D256" s="1" t="s">
        <v>39</v>
      </c>
      <c r="E256" s="1" t="s">
        <v>258</v>
      </c>
      <c r="F256" s="1" t="s">
        <v>86</v>
      </c>
      <c r="G256" s="1"/>
      <c r="H256" s="1" t="s">
        <v>87</v>
      </c>
      <c r="I256" s="1"/>
      <c r="J256" s="1" t="n">
        <v>2</v>
      </c>
      <c r="K256" s="1" t="n">
        <f aca="false">LN(ABS(B256))</f>
        <v>-12.3478035058424</v>
      </c>
      <c r="L256" s="1" t="n">
        <v>1.2</v>
      </c>
      <c r="M256" s="1" t="n">
        <v>1.1</v>
      </c>
      <c r="N256" s="1" t="n">
        <v>1.03</v>
      </c>
      <c r="O256" s="1" t="n">
        <v>1.02</v>
      </c>
      <c r="P256" s="1" t="n">
        <v>2</v>
      </c>
      <c r="Q256" s="1" t="n">
        <v>3</v>
      </c>
      <c r="R256" s="1" t="n">
        <f aca="false">0.5*SQRT(LN(L256)^2+LN(M256)^2+LN(N256)^2+LN(O256)^2+LN(P256)^2+LN(Q256)^2)</f>
        <v>0.657836039985397</v>
      </c>
      <c r="S256" s="5" t="b">
        <f aca="false">FALSE()</f>
        <v>0</v>
      </c>
      <c r="T256" s="1"/>
    </row>
    <row r="257" customFormat="false" ht="15" hidden="false" customHeight="false" outlineLevel="0" collapsed="false">
      <c r="A257" s="1" t="s">
        <v>217</v>
      </c>
      <c r="B257" s="1" t="n">
        <v>-0.0104854447267925</v>
      </c>
      <c r="C257" s="1" t="s">
        <v>67</v>
      </c>
      <c r="D257" s="1" t="s">
        <v>39</v>
      </c>
      <c r="E257" s="1"/>
      <c r="F257" s="1" t="s">
        <v>61</v>
      </c>
      <c r="G257" s="1" t="s">
        <v>218</v>
      </c>
      <c r="H257" s="1" t="s">
        <v>63</v>
      </c>
      <c r="I257" s="1" t="s">
        <v>263</v>
      </c>
      <c r="J257" s="1" t="n">
        <v>2</v>
      </c>
      <c r="K257" s="1" t="n">
        <f aca="false">LN(ABS(B257))</f>
        <v>-4.55776720000154</v>
      </c>
      <c r="L257" s="1" t="n">
        <v>1.2</v>
      </c>
      <c r="M257" s="1" t="n">
        <v>1.1</v>
      </c>
      <c r="N257" s="1" t="n">
        <v>1.03</v>
      </c>
      <c r="O257" s="1" t="n">
        <v>1.02</v>
      </c>
      <c r="P257" s="1" t="n">
        <v>2</v>
      </c>
      <c r="Q257" s="1" t="n">
        <v>1.05</v>
      </c>
      <c r="R257" s="1" t="n">
        <f aca="false">0.5*SQRT(LN(L257)^2+LN(M257)^2+LN(N257)^2+LN(O257)^2+LN(P257)^2+LN(Q257)^2)</f>
        <v>0.3627755991387</v>
      </c>
      <c r="S257" s="5" t="b">
        <f aca="false">TRUE()</f>
        <v>1</v>
      </c>
      <c r="T257" s="1"/>
    </row>
    <row r="258" customFormat="false" ht="15" hidden="false" customHeight="false" outlineLevel="0" collapsed="false">
      <c r="A258" s="1" t="s">
        <v>249</v>
      </c>
      <c r="B258" s="1" t="n">
        <v>-0.000989514555273208</v>
      </c>
      <c r="C258" s="1" t="s">
        <v>67</v>
      </c>
      <c r="D258" s="1" t="s">
        <v>101</v>
      </c>
      <c r="E258" s="1"/>
      <c r="F258" s="1" t="s">
        <v>61</v>
      </c>
      <c r="G258" s="1" t="s">
        <v>250</v>
      </c>
      <c r="H258" s="1" t="s">
        <v>63</v>
      </c>
      <c r="I258" s="1" t="s">
        <v>264</v>
      </c>
      <c r="J258" s="1" t="n">
        <v>2</v>
      </c>
      <c r="K258" s="1" t="n">
        <f aca="false">LN(ABS(B258))</f>
        <v>-6.91829608330452</v>
      </c>
      <c r="L258" s="1" t="n">
        <v>1.2</v>
      </c>
      <c r="M258" s="1" t="n">
        <v>1.1</v>
      </c>
      <c r="N258" s="1" t="n">
        <v>1.03</v>
      </c>
      <c r="O258" s="1" t="n">
        <v>1.02</v>
      </c>
      <c r="P258" s="1" t="n">
        <v>2</v>
      </c>
      <c r="Q258" s="1" t="n">
        <v>1.05</v>
      </c>
      <c r="R258" s="1" t="n">
        <f aca="false">0.5*SQRT(LN(L258)^2+LN(M258)^2+LN(N258)^2+LN(O258)^2+LN(P258)^2+LN(Q258)^2)</f>
        <v>0.3627755991387</v>
      </c>
      <c r="S258" s="5" t="b">
        <f aca="false">TRUE()</f>
        <v>1</v>
      </c>
      <c r="T258" s="1"/>
    </row>
    <row r="260" customFormat="false" ht="15" hidden="false" customHeight="false" outlineLevel="0" collapsed="false">
      <c r="A260" s="3" t="s">
        <v>25</v>
      </c>
      <c r="B260" s="3" t="s">
        <v>265</v>
      </c>
    </row>
    <row r="261" customFormat="false" ht="15" hidden="false" customHeight="false" outlineLevel="0" collapsed="false">
      <c r="A261" s="1" t="s">
        <v>27</v>
      </c>
      <c r="B261" s="1" t="s">
        <v>266</v>
      </c>
    </row>
    <row r="262" customFormat="false" ht="15" hidden="false" customHeight="false" outlineLevel="0" collapsed="false">
      <c r="A262" s="1" t="s">
        <v>29</v>
      </c>
      <c r="B262" s="1" t="s">
        <v>30</v>
      </c>
    </row>
    <row r="263" customFormat="false" ht="15" hidden="false" customHeight="false" outlineLevel="0" collapsed="false">
      <c r="A263" s="1" t="s">
        <v>31</v>
      </c>
      <c r="B263" s="1" t="s">
        <v>32</v>
      </c>
    </row>
    <row r="264" customFormat="false" ht="15" hidden="false" customHeight="false" outlineLevel="0" collapsed="false">
      <c r="A264" s="1" t="s">
        <v>33</v>
      </c>
      <c r="B264" s="1" t="s">
        <v>267</v>
      </c>
    </row>
    <row r="265" customFormat="false" ht="15" hidden="false" customHeight="false" outlineLevel="0" collapsed="false">
      <c r="A265" s="1" t="s">
        <v>35</v>
      </c>
      <c r="B265" s="1" t="n">
        <v>1</v>
      </c>
    </row>
    <row r="266" customFormat="false" ht="15" hidden="false" customHeight="false" outlineLevel="0" collapsed="false">
      <c r="A266" s="1" t="s">
        <v>36</v>
      </c>
      <c r="B266" s="1" t="s">
        <v>268</v>
      </c>
    </row>
    <row r="267" customFormat="false" ht="15" hidden="false" customHeight="false" outlineLevel="0" collapsed="false">
      <c r="A267" s="1" t="s">
        <v>38</v>
      </c>
      <c r="B267" s="1" t="s">
        <v>39</v>
      </c>
    </row>
    <row r="268" customFormat="false" ht="15" hidden="false" customHeight="false" outlineLevel="0" collapsed="false">
      <c r="A268" s="3" t="s">
        <v>40</v>
      </c>
    </row>
    <row r="269" customFormat="false" ht="15" hidden="false" customHeight="false" outlineLevel="0" collapsed="false">
      <c r="A269" s="4" t="s">
        <v>41</v>
      </c>
      <c r="B269" s="4" t="s">
        <v>42</v>
      </c>
      <c r="C269" s="4" t="s">
        <v>31</v>
      </c>
      <c r="D269" s="4" t="s">
        <v>38</v>
      </c>
      <c r="E269" s="4" t="s">
        <v>43</v>
      </c>
      <c r="F269" s="4" t="s">
        <v>44</v>
      </c>
      <c r="G269" s="4" t="s">
        <v>36</v>
      </c>
      <c r="H269" s="4" t="s">
        <v>45</v>
      </c>
      <c r="I269" s="4" t="s">
        <v>27</v>
      </c>
      <c r="J269" s="4" t="s">
        <v>46</v>
      </c>
      <c r="K269" s="4" t="s">
        <v>47</v>
      </c>
      <c r="L269" s="4" t="s">
        <v>48</v>
      </c>
      <c r="M269" s="4" t="s">
        <v>49</v>
      </c>
      <c r="N269" s="4" t="s">
        <v>50</v>
      </c>
      <c r="O269" s="4" t="s">
        <v>51</v>
      </c>
      <c r="P269" s="4" t="s">
        <v>52</v>
      </c>
      <c r="Q269" s="4" t="s">
        <v>53</v>
      </c>
      <c r="R269" s="4" t="s">
        <v>54</v>
      </c>
      <c r="S269" s="4" t="s">
        <v>55</v>
      </c>
      <c r="T269" s="4" t="s">
        <v>56</v>
      </c>
    </row>
    <row r="270" customFormat="false" ht="15" hidden="false" customHeight="false" outlineLevel="0" collapsed="false">
      <c r="A270" s="1" t="s">
        <v>265</v>
      </c>
      <c r="B270" s="1" t="n">
        <v>1</v>
      </c>
      <c r="C270" s="1" t="s">
        <v>32</v>
      </c>
      <c r="D270" s="1" t="s">
        <v>39</v>
      </c>
      <c r="E270" s="1"/>
      <c r="F270" s="1" t="s">
        <v>57</v>
      </c>
      <c r="G270" s="1" t="s">
        <v>268</v>
      </c>
      <c r="H270" s="1" t="s">
        <v>24</v>
      </c>
      <c r="I270" s="1" t="s">
        <v>58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customFormat="false" ht="15" hidden="false" customHeight="false" outlineLevel="0" collapsed="false">
      <c r="A271" s="1" t="s">
        <v>269</v>
      </c>
      <c r="B271" s="1" t="n">
        <v>0.130434782608696</v>
      </c>
      <c r="C271" s="1" t="s">
        <v>67</v>
      </c>
      <c r="D271" s="1" t="s">
        <v>39</v>
      </c>
      <c r="E271" s="1"/>
      <c r="F271" s="1" t="s">
        <v>61</v>
      </c>
      <c r="G271" s="1" t="s">
        <v>270</v>
      </c>
      <c r="H271" s="1" t="s">
        <v>63</v>
      </c>
      <c r="I271" s="1"/>
      <c r="J271" s="1" t="n">
        <v>2</v>
      </c>
      <c r="K271" s="1" t="n">
        <f aca="false">LN(ABS(B271))</f>
        <v>-2.03688192726104</v>
      </c>
      <c r="L271" s="1" t="n">
        <v>1.2</v>
      </c>
      <c r="M271" s="1" t="n">
        <v>1.1</v>
      </c>
      <c r="N271" s="1" t="n">
        <v>1.03</v>
      </c>
      <c r="O271" s="1" t="n">
        <v>1.02</v>
      </c>
      <c r="P271" s="1" t="n">
        <v>2</v>
      </c>
      <c r="Q271" s="1" t="n">
        <v>1.05</v>
      </c>
      <c r="R271" s="1" t="n">
        <f aca="false">0.5*SQRT(LN(L271)^2+LN(M271)^2+LN(N271)^2+LN(O271)^2+LN(P271)^2+LN(Q271)^2)</f>
        <v>0.3627755991387</v>
      </c>
      <c r="S271" s="5" t="b">
        <f aca="false">FALSE()</f>
        <v>0</v>
      </c>
      <c r="T271" s="1"/>
    </row>
    <row r="272" customFormat="false" ht="15" hidden="false" customHeight="false" outlineLevel="0" collapsed="false">
      <c r="A272" s="1" t="s">
        <v>59</v>
      </c>
      <c r="B272" s="1" t="n">
        <v>0.01</v>
      </c>
      <c r="C272" s="1" t="s">
        <v>32</v>
      </c>
      <c r="D272" s="1" t="s">
        <v>60</v>
      </c>
      <c r="E272" s="1"/>
      <c r="F272" s="1" t="s">
        <v>61</v>
      </c>
      <c r="G272" s="1" t="s">
        <v>62</v>
      </c>
      <c r="H272" s="1" t="s">
        <v>63</v>
      </c>
      <c r="I272" s="1"/>
      <c r="J272" s="1" t="n">
        <v>2</v>
      </c>
      <c r="K272" s="1" t="n">
        <f aca="false">LN(ABS(B272))</f>
        <v>-4.60517018598809</v>
      </c>
      <c r="L272" s="1" t="n">
        <v>1.2</v>
      </c>
      <c r="M272" s="1" t="n">
        <v>1.1</v>
      </c>
      <c r="N272" s="1" t="n">
        <v>1.03</v>
      </c>
      <c r="O272" s="1" t="n">
        <v>1.02</v>
      </c>
      <c r="P272" s="1" t="n">
        <v>2</v>
      </c>
      <c r="Q272" s="1" t="n">
        <v>1.05</v>
      </c>
      <c r="R272" s="1" t="n">
        <f aca="false">0.5*SQRT(LN(L272)^2+LN(M272)^2+LN(N272)^2+LN(O272)^2+LN(P272)^2+LN(Q272)^2)</f>
        <v>0.3627755991387</v>
      </c>
      <c r="S272" s="5" t="b">
        <f aca="false">FALSE()</f>
        <v>0</v>
      </c>
      <c r="T27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8"/>
    <col collapsed="false" customWidth="true" hidden="false" outlineLevel="0" max="8" min="7" style="0" width="10"/>
    <col collapsed="false" customWidth="true" hidden="false" outlineLevel="0" max="9" min="9" style="0" width="80"/>
  </cols>
  <sheetData>
    <row r="1" customFormat="false" ht="15" hidden="false" customHeight="false" outlineLevel="0" collapsed="false">
      <c r="A1" s="3" t="s">
        <v>271</v>
      </c>
    </row>
    <row r="2" customFormat="false" ht="15" hidden="false" customHeight="false" outlineLevel="0" collapsed="false">
      <c r="A2" s="4" t="s">
        <v>41</v>
      </c>
      <c r="B2" s="4" t="s">
        <v>42</v>
      </c>
      <c r="C2" s="4" t="s">
        <v>56</v>
      </c>
      <c r="D2" s="4" t="s">
        <v>46</v>
      </c>
      <c r="E2" s="4" t="s">
        <v>47</v>
      </c>
      <c r="F2" s="4" t="s">
        <v>54</v>
      </c>
      <c r="G2" s="4" t="s">
        <v>272</v>
      </c>
      <c r="H2" s="4" t="s">
        <v>273</v>
      </c>
      <c r="I2" s="4" t="s">
        <v>27</v>
      </c>
    </row>
    <row r="3" customFormat="false" ht="15" hidden="false" customHeight="false" outlineLevel="0" collapsed="false">
      <c r="A3" s="1" t="s">
        <v>274</v>
      </c>
      <c r="B3" s="1" t="n">
        <v>1</v>
      </c>
      <c r="C3" s="1"/>
      <c r="D3" s="1" t="n">
        <v>5</v>
      </c>
      <c r="E3" s="1" t="n">
        <v>1</v>
      </c>
      <c r="F3" s="1"/>
      <c r="G3" s="1" t="n">
        <v>0.8</v>
      </c>
      <c r="H3" s="1" t="n">
        <v>1.6</v>
      </c>
      <c r="I3" s="1" t="s">
        <v>275</v>
      </c>
    </row>
    <row r="4" customFormat="false" ht="15" hidden="false" customHeight="false" outlineLevel="0" collapsed="false">
      <c r="A4" s="1" t="s">
        <v>276</v>
      </c>
      <c r="B4" s="1" t="n">
        <v>1</v>
      </c>
      <c r="C4" s="1"/>
      <c r="D4" s="1" t="n">
        <v>5</v>
      </c>
      <c r="E4" s="1" t="n">
        <v>1</v>
      </c>
      <c r="F4" s="1"/>
      <c r="G4" s="1" t="n">
        <v>0.4</v>
      </c>
      <c r="H4" s="1" t="n">
        <v>3</v>
      </c>
      <c r="I4" s="1" t="s">
        <v>277</v>
      </c>
    </row>
    <row r="5" customFormat="false" ht="15" hidden="false" customHeight="false" outlineLevel="0" collapsed="false">
      <c r="A5" s="1" t="s">
        <v>278</v>
      </c>
      <c r="B5" s="1" t="n">
        <v>1</v>
      </c>
      <c r="C5" s="1"/>
      <c r="D5" s="1" t="n">
        <v>5</v>
      </c>
      <c r="E5" s="1" t="n">
        <v>1</v>
      </c>
      <c r="F5" s="1"/>
      <c r="G5" s="1" t="n">
        <v>0.25</v>
      </c>
      <c r="H5" s="1" t="n">
        <v>1.05</v>
      </c>
      <c r="I5" s="1" t="s">
        <v>279</v>
      </c>
    </row>
    <row r="6" customFormat="false" ht="15" hidden="false" customHeight="false" outlineLevel="0" collapsed="false">
      <c r="A6" s="1" t="s">
        <v>280</v>
      </c>
      <c r="B6" s="1" t="n">
        <v>1</v>
      </c>
      <c r="C6" s="1"/>
      <c r="D6" s="1" t="n">
        <v>5</v>
      </c>
      <c r="E6" s="1" t="n">
        <v>1</v>
      </c>
      <c r="F6" s="1"/>
      <c r="G6" s="1" t="n">
        <v>0.4</v>
      </c>
      <c r="H6" s="1" t="n">
        <v>1.05</v>
      </c>
      <c r="I6" s="1" t="s">
        <v>281</v>
      </c>
    </row>
    <row r="7" customFormat="false" ht="15" hidden="false" customHeight="false" outlineLevel="0" collapsed="false">
      <c r="A7" s="1" t="s">
        <v>282</v>
      </c>
      <c r="B7" s="1" t="n">
        <v>1</v>
      </c>
      <c r="C7" s="1"/>
      <c r="D7" s="1" t="n">
        <v>5</v>
      </c>
      <c r="E7" s="1" t="n">
        <v>1</v>
      </c>
      <c r="F7" s="1"/>
      <c r="G7" s="1" t="n">
        <v>0.5</v>
      </c>
      <c r="H7" s="1" t="n">
        <v>2.1</v>
      </c>
      <c r="I7" s="1" t="s">
        <v>283</v>
      </c>
    </row>
    <row r="8" customFormat="false" ht="15" hidden="false" customHeight="false" outlineLevel="0" collapsed="false">
      <c r="A8" s="1" t="s">
        <v>284</v>
      </c>
      <c r="B8" s="1" t="n">
        <v>1</v>
      </c>
      <c r="C8" s="1"/>
      <c r="D8" s="1" t="n">
        <v>5</v>
      </c>
      <c r="E8" s="1" t="n">
        <v>1</v>
      </c>
      <c r="F8" s="1"/>
      <c r="G8" s="1" t="n">
        <v>0.5</v>
      </c>
      <c r="H8" s="1" t="n">
        <v>2</v>
      </c>
      <c r="I8" s="1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2026-10-12T09:59:09Z</dcterms:created>
  <dc:creator>openpyxl</dc:creator>
  <dc:description/>
  <dc:language>en-US</dc:language>
  <cp:lastModifiedBy/>
  <dcterms:modified xsi:type="dcterms:W3CDTF">2026-10-12T09:59:09Z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